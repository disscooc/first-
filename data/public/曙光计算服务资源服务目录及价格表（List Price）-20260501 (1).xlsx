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产品运营部\14-报价单更新\02-报价单更新版本\"/>
    </mc:Choice>
  </mc:AlternateContent>
  <xr:revisionPtr revIDLastSave="0" documentId="13_ncr:1_{65B7DAC3-87E4-48B0-8E53-04FE3541D638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计算服务" sheetId="12" r:id="rId1"/>
    <sheet name="裸金属" sheetId="9" r:id="rId2"/>
    <sheet name="云主机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2" l="1"/>
  <c r="J8" i="12" s="1"/>
  <c r="K24" i="9"/>
  <c r="J24" i="9"/>
  <c r="K23" i="9"/>
  <c r="J23" i="9"/>
  <c r="K21" i="9"/>
  <c r="K19" i="9"/>
  <c r="J19" i="9"/>
  <c r="J18" i="9"/>
  <c r="K18" i="9" s="1"/>
  <c r="J17" i="9"/>
  <c r="K17" i="9" s="1"/>
  <c r="K16" i="9"/>
  <c r="J16" i="9"/>
  <c r="H16" i="9"/>
  <c r="J15" i="9"/>
  <c r="K15" i="9" s="1"/>
  <c r="H15" i="9"/>
  <c r="J14" i="9"/>
  <c r="K14" i="9" s="1"/>
  <c r="H14" i="9"/>
  <c r="J13" i="9"/>
  <c r="K13" i="9" s="1"/>
  <c r="H13" i="9"/>
  <c r="J12" i="9"/>
  <c r="K12" i="9" s="1"/>
  <c r="H12" i="9"/>
  <c r="J11" i="9"/>
  <c r="K11" i="9" s="1"/>
  <c r="H11" i="9"/>
  <c r="K10" i="9"/>
  <c r="J10" i="9"/>
  <c r="H10" i="9"/>
  <c r="J9" i="9"/>
  <c r="K9" i="9" s="1"/>
  <c r="H9" i="9"/>
  <c r="J8" i="9"/>
  <c r="K8" i="9" s="1"/>
  <c r="H8" i="9"/>
  <c r="J7" i="9"/>
  <c r="K7" i="9" s="1"/>
  <c r="H7" i="9"/>
  <c r="J6" i="9"/>
  <c r="J25" i="9" s="1"/>
  <c r="J26" i="9" s="1"/>
  <c r="H6" i="9"/>
  <c r="F4" i="9"/>
  <c r="J86" i="12"/>
  <c r="J85" i="12"/>
  <c r="J84" i="12"/>
  <c r="J83" i="12"/>
  <c r="J79" i="12"/>
  <c r="J72" i="12"/>
  <c r="J71" i="12"/>
  <c r="J70" i="12"/>
  <c r="J69" i="12"/>
  <c r="J68" i="12"/>
  <c r="J67" i="12"/>
  <c r="J63" i="12"/>
  <c r="J62" i="12"/>
  <c r="J61" i="12"/>
  <c r="J60" i="12"/>
  <c r="J59" i="12"/>
  <c r="J58" i="12"/>
  <c r="J54" i="12"/>
  <c r="J53" i="12"/>
  <c r="F49" i="12"/>
  <c r="J49" i="12" s="1"/>
  <c r="F48" i="12"/>
  <c r="J48" i="12" s="1"/>
  <c r="F47" i="12"/>
  <c r="J47" i="12" s="1"/>
  <c r="F46" i="12"/>
  <c r="J46" i="12" s="1"/>
  <c r="F45" i="12"/>
  <c r="J45" i="12" s="1"/>
  <c r="F44" i="12"/>
  <c r="J44" i="12" s="1"/>
  <c r="F43" i="12"/>
  <c r="J43" i="12" s="1"/>
  <c r="J42" i="12"/>
  <c r="F41" i="12"/>
  <c r="J41" i="12" s="1"/>
  <c r="F40" i="12"/>
  <c r="J40" i="12" s="1"/>
  <c r="J39" i="12"/>
  <c r="F38" i="12"/>
  <c r="J38" i="12" s="1"/>
  <c r="F37" i="12"/>
  <c r="J37" i="12" s="1"/>
  <c r="F36" i="12"/>
  <c r="J36" i="12" s="1"/>
  <c r="F35" i="12"/>
  <c r="J35" i="12" s="1"/>
  <c r="F34" i="12"/>
  <c r="J34" i="12" s="1"/>
  <c r="F33" i="12"/>
  <c r="J33" i="12" s="1"/>
  <c r="F32" i="12"/>
  <c r="J32" i="12" s="1"/>
  <c r="F31" i="12"/>
  <c r="J31" i="12" s="1"/>
  <c r="F30" i="12"/>
  <c r="J30" i="12" s="1"/>
  <c r="J29" i="12"/>
  <c r="J28" i="12"/>
  <c r="J27" i="12"/>
  <c r="F26" i="12"/>
  <c r="J26" i="12" s="1"/>
  <c r="F25" i="12"/>
  <c r="J25" i="12" s="1"/>
  <c r="F24" i="12"/>
  <c r="J24" i="12" s="1"/>
  <c r="F23" i="12"/>
  <c r="J23" i="12" s="1"/>
  <c r="F22" i="12"/>
  <c r="J22" i="12" s="1"/>
  <c r="F21" i="12"/>
  <c r="J21" i="12" s="1"/>
  <c r="F20" i="12"/>
  <c r="J20" i="12" s="1"/>
  <c r="J19" i="12"/>
  <c r="F18" i="12"/>
  <c r="J18" i="12" s="1"/>
  <c r="F17" i="12"/>
  <c r="J17" i="12" s="1"/>
  <c r="J16" i="12"/>
  <c r="F15" i="12"/>
  <c r="J15" i="12" s="1"/>
  <c r="J14" i="12"/>
  <c r="F13" i="12"/>
  <c r="J13" i="12" s="1"/>
  <c r="F12" i="12"/>
  <c r="J12" i="12" s="1"/>
  <c r="F11" i="12"/>
  <c r="J11" i="12" s="1"/>
  <c r="F10" i="12"/>
  <c r="J10" i="12" s="1"/>
  <c r="F9" i="12"/>
  <c r="J9" i="12" s="1"/>
  <c r="F7" i="12"/>
  <c r="J7" i="12" s="1"/>
  <c r="F6" i="12"/>
  <c r="J6" i="12" s="1"/>
  <c r="F5" i="12"/>
  <c r="J5" i="12" s="1"/>
  <c r="F4" i="12"/>
  <c r="J4" i="12" s="1"/>
  <c r="D88" i="12" l="1"/>
  <c r="D89" i="12" s="1"/>
  <c r="K6" i="9"/>
  <c r="K25" i="9" s="1"/>
  <c r="K2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weidd</author>
  </authors>
  <commentList>
    <comment ref="C20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weidd:</t>
        </r>
        <r>
          <rPr>
            <sz val="9"/>
            <rFont val="宋体"/>
            <family val="3"/>
            <charset val="134"/>
          </rPr>
          <t xml:space="preserve">
默认项</t>
        </r>
      </text>
    </comment>
  </commentList>
</comments>
</file>

<file path=xl/sharedStrings.xml><?xml version="1.0" encoding="utf-8"?>
<sst xmlns="http://schemas.openxmlformats.org/spreadsheetml/2006/main" count="903" uniqueCount="399">
  <si>
    <t>计算资源服务（适用场景：所有场景）</t>
  </si>
  <si>
    <t>资源类型</t>
  </si>
  <si>
    <t>资源名称</t>
  </si>
  <si>
    <t>区域名称</t>
  </si>
  <si>
    <t>节点技术规格</t>
  </si>
  <si>
    <t>共享单价
(元/核时或元/卡时)</t>
  </si>
  <si>
    <t>独占单价
(元/台月)</t>
  </si>
  <si>
    <t>使用数量
(核时或卡时)</t>
  </si>
  <si>
    <t>使用数量
(台)</t>
  </si>
  <si>
    <t>使用时间
(月)</t>
  </si>
  <si>
    <t>资源报价
(元)</t>
  </si>
  <si>
    <t>交付方式</t>
  </si>
  <si>
    <t>备注</t>
  </si>
  <si>
    <t>HG CPU</t>
  </si>
  <si>
    <t>X86 32C 2.5GHz 128GB</t>
  </si>
  <si>
    <t>华东一区【昆山】</t>
  </si>
  <si>
    <t>1*X86 7185 32C 2.5GHz处理器 / 128GB内存 / 200Gb计算网络</t>
  </si>
  <si>
    <t>请填写核时</t>
  </si>
  <si>
    <t>请填写数量</t>
  </si>
  <si>
    <t>请填写时间</t>
  </si>
  <si>
    <t>共享、独占、裸金属</t>
  </si>
  <si>
    <t>X86 32C 2.5GHz 256GB</t>
  </si>
  <si>
    <t>1*X86 7185 32C 2.5GHz处理器 / 256GB内存 / 200Gb计算网络</t>
  </si>
  <si>
    <t>X86 64C 2.0GHz 256GB</t>
  </si>
  <si>
    <t>华北一区【雄衡】</t>
  </si>
  <si>
    <t>2*X86 7185 32C 2.0GHz处理器 / 256GB内存 / 100Gb计算网络</t>
  </si>
  <si>
    <t>X86 64C 2.0GHz 256GB-2</t>
  </si>
  <si>
    <t>东北一区【哈尔滨】</t>
  </si>
  <si>
    <t>2*X86 7285 32C 2.0GHz处理器 / 256GB内存 / 100Gb计算网络</t>
  </si>
  <si>
    <t>X86 64C 2.5GHz 256GB</t>
  </si>
  <si>
    <t>2*X86 7285H 32C 2.5GHz处理器 / 256GB内存 / 100Gb计算网络</t>
  </si>
  <si>
    <t>华东三区【乌镇】</t>
  </si>
  <si>
    <t>X86 32C 2.7GHz 256GB</t>
  </si>
  <si>
    <t>HG 大内存CPU</t>
  </si>
  <si>
    <t>X86 64C 2.7GHz 512G</t>
  </si>
  <si>
    <t>华东四区【山东】</t>
  </si>
  <si>
    <t>2*X86 7390 32C 2.7GHz处理器 / 512GB内存 / 200Gb计算网络</t>
  </si>
  <si>
    <t>X86 64C 2.0GHz 512GB</t>
  </si>
  <si>
    <t>2*X86 7285 32C 2.0GHz处理器 / 512GB内存 / 100Gb计算网络</t>
  </si>
  <si>
    <t>共享、独占</t>
  </si>
  <si>
    <t>X86 64C 2.0GHz 1TB</t>
  </si>
  <si>
    <t>2*X86 7285 32C 2.0GHz处理器 / 1TB内存 / 100Gb计算网络</t>
  </si>
  <si>
    <t>/</t>
  </si>
  <si>
    <t>共享</t>
  </si>
  <si>
    <t>X86 128C 3.0GHz 768GB</t>
  </si>
  <si>
    <t>2*X86 7495 64C 3.0GHz处理器 / 768GB内存 / 100Gb计算网络</t>
  </si>
  <si>
    <t>X86 64C 2.0GHz 2TB</t>
  </si>
  <si>
    <t>2*X86 7185 32C 2.0GHz处理器 / 2TB内存 / 100Gb计算网络</t>
  </si>
  <si>
    <t>Intel CPU</t>
  </si>
  <si>
    <t>X86 24C 2.5GHz 128GB</t>
  </si>
  <si>
    <t>西北二区【甘肃】</t>
  </si>
  <si>
    <t>2*Intel E5-2680 v3 12C 2.5GHz处理器 / 128GB内存 / 56Gb计算网络</t>
  </si>
  <si>
    <t>X86 28C 2.6GHz 96GB</t>
  </si>
  <si>
    <t>华北A区【IH】</t>
  </si>
  <si>
    <t>2*Intel Skylake 6132 14C 2.6GHz处理器/ 96GB内存 /100Gb计算网络</t>
  </si>
  <si>
    <t>X86 64C 3.1GHz 256G</t>
  </si>
  <si>
    <t>大连分区</t>
  </si>
  <si>
    <t>2* Intel Xeon Gold 6458Q 32C 3.1GHz处理器/ 256GB内存 / 100Gb计算网络</t>
  </si>
  <si>
    <t>独占</t>
  </si>
  <si>
    <t>X86 64C 2.6GHz 512G</t>
  </si>
  <si>
    <t>华东五区【山东】</t>
  </si>
  <si>
    <t>2*Intel Xeon Platinum 8358P 32C 2.6GHz处理器/ 512GB内存 /200Gb计算网络</t>
  </si>
  <si>
    <t>AMD CPU</t>
  </si>
  <si>
    <t>2*AMD EPYC 7502 32C 2.5GHz处理器 / 256GB内存 / 100Gb计算网络</t>
  </si>
  <si>
    <t>X86 64C 2.8GHz 256GB</t>
  </si>
  <si>
    <t>西南一区【四川】</t>
  </si>
  <si>
    <t>2*AMD EPYC 7543 32C 2.8GHz处理器 / 256GB内存 / 100Gb计算网络</t>
  </si>
  <si>
    <t>X86 128C 2.0GHz 256GB</t>
  </si>
  <si>
    <t>华东二区【合肥】</t>
  </si>
  <si>
    <t>2*AMD EPYC 7702 64C 2.0GHz处理器 / 256GB内存 / 100Gb计算网络</t>
  </si>
  <si>
    <t>X86 128C 2.0GHz 512GB</t>
  </si>
  <si>
    <t>2*AMD EPYC 7702 64C 2.0GHz处理器 / 512GB内存 / 100Gb计算网络</t>
  </si>
  <si>
    <t>X86 128C 2.25GHz 512GB</t>
  </si>
  <si>
    <t>2*AMD EPYC 7742 64C 2.25GHz处理器 / 512GB内存 / 100Gb计算网络</t>
  </si>
  <si>
    <t>AMD 大内存CPU</t>
  </si>
  <si>
    <t>X86 128C 2.25GHz 1TB</t>
  </si>
  <si>
    <t>2*AMD EPYC 7742 64C 2.25GHz处理器 / 1TB内存 / 100Gb计算网络</t>
  </si>
  <si>
    <t>X86 64C 2.5GHz 1TB</t>
  </si>
  <si>
    <t>2*AMD EPYC 7502 32C 2.5GHz处理器 / 1TB内存 / 100Gb计算网络</t>
  </si>
  <si>
    <t>X86 64C 2.9GHz 2TB</t>
  </si>
  <si>
    <t>2*AMD EPYC 7542 32C 2.9GHz处理器 / 2TB内存 / 100Gb计算网络</t>
  </si>
  <si>
    <t>请填写卡时</t>
  </si>
  <si>
    <t>DCU</t>
  </si>
  <si>
    <t>异构加速卡1 显存16GB</t>
  </si>
  <si>
    <t>4*异构加速卡 / 1*X86 7185 32C 2.0GHz处理器 / 128GB内存 / 16G显存 / 200Gb计算网络</t>
  </si>
  <si>
    <t>异构加速卡1 显存16GB-2</t>
  </si>
  <si>
    <t>4*异构加速卡 / 1*X86 7285 32C 2.0GHz处理器 / 128GB内存 / 16G显存 / 200Gb计算网络</t>
  </si>
  <si>
    <t>异构加速卡2 显存16GB</t>
  </si>
  <si>
    <t>西北一区【西安】
华东三区【乌镇】</t>
  </si>
  <si>
    <t>4*异构加速卡 / 1*X86 7285 32C 2.0GHz处理器 / 128GB内存 / 16G显存 /200Gb计算网络</t>
  </si>
  <si>
    <t>异构加速卡2 显存32GB-双精度</t>
  </si>
  <si>
    <t>4*异构加速卡 / 1*X86 7185 32C 2.0GHz处理器 / 128GB内存 / 32G显存 / 200Gb计算网络</t>
  </si>
  <si>
    <t>异构加速卡2 显存32GB-单精度</t>
  </si>
  <si>
    <t xml:space="preserve">4*异构加速卡 / 1*X86 7185 32C 2.0GHz处理器 / 128GB内存 / 32G显存 / 200Gb计算网络 </t>
  </si>
  <si>
    <t>异构加速卡AI 显存64GB PCIE-1</t>
  </si>
  <si>
    <t>8*K100_AI / 2*X86 7490 64C 2.7GHz处理器 / 1TB内存 / 64G显存 / 200Gb计算网络</t>
  </si>
  <si>
    <t>共享、独占、裸金属、容器</t>
  </si>
  <si>
    <t>异构加速卡AI 显存64GB PCIE</t>
  </si>
  <si>
    <t>4*K100_AI / 1*X86 7185 32C 2.0GHz处理器 / 512GB内存 / 64G显存 / 200Gb计算网络</t>
  </si>
  <si>
    <t>8*K100_AI / 2*X86 7375 32C 2.0GHz处理器 / 1TB内存 / 64GB显存 / 200Gb计算网络</t>
  </si>
  <si>
    <t>独占、裸金属、容器</t>
  </si>
  <si>
    <t>8*K100_AI / 2*X86 7495 64C 3.0GHz处理器 / 1TB内存 / 64GB显存 / 200Gb计算网络</t>
  </si>
  <si>
    <t>L20</t>
  </si>
  <si>
    <t>NVIDIA L20 显存48GB PCIE</t>
  </si>
  <si>
    <t>8*L20 / 2*Intel 8458P 44C 2.7GHz处理器 / 2TB内存 / 48GB显存 / 200Gb计算网络</t>
  </si>
  <si>
    <t>RTX 3080</t>
  </si>
  <si>
    <t>RTX3080 显存10GB</t>
  </si>
  <si>
    <t>4*RTX 3080 / 2*X86 7185 32C 2.0GHz处理器 / 256GB内存 / 10G显存 / 100Gb计算网络</t>
  </si>
  <si>
    <t>V100</t>
  </si>
  <si>
    <t>V100 显存16GB</t>
  </si>
  <si>
    <t>2*V100 / 2*X86 7185 32C 2.0GHz处理器 / 256GB内存 / 16G显存 / 100Gb计算网络</t>
  </si>
  <si>
    <t>RTX 3090</t>
  </si>
  <si>
    <t>RTX3090 显存24GB</t>
  </si>
  <si>
    <t>8*RTX 3090 / 2*X86 7185 32C 2.0GHz处理器 / 256GB内存 / 24G显存 / 100Gb计算网络</t>
  </si>
  <si>
    <t>NVIDIA 4090</t>
  </si>
  <si>
    <t>NVIDIA 4090 显存24GB PCIE</t>
  </si>
  <si>
    <t>8*RTX 4090 / 2*AMD 7543 32C  2.8GHz处理器 / 1TB内存 / 24GB显存 / 100Gb计算网络</t>
  </si>
  <si>
    <t>8*RTX 4090 / 2*Intel 8352V 36C  2.1GHz处理器 / 1TB内存 / 24GB显存 / 100Gb计算网络</t>
  </si>
  <si>
    <t>NVIDIA A800</t>
  </si>
  <si>
    <t>NVIDIA A800 显存80GB</t>
  </si>
  <si>
    <t>8*NVIDIA A800 / 2*X86 7390 32C 2.7GHz处理器 / 2TB内存 / 80G显存 / 200Gb计算网络</t>
  </si>
  <si>
    <t>8*NVIDIA A800 / 2*X86 7375 32C 2.0GHz处理器 / 512GB内存 / 80G显存 / 200Gb计算网络</t>
  </si>
  <si>
    <t>8*NVIDIA A800 / 2*Intel 8358P 32C 2.6GHz处理器 / 2048GB内存 / 80G显存 / 200Gb计算网络</t>
  </si>
  <si>
    <t>裸金属、容器</t>
  </si>
  <si>
    <t>NVIDIA A800 显存80GB PCIE</t>
  </si>
  <si>
    <t>NVIDIA A800 显存80GB NVLink</t>
  </si>
  <si>
    <t>华南一区【广东】</t>
  </si>
  <si>
    <t>4*NVIDIA A800 / 2*Intel 8358P 32C 2.6GHz处理器 / 1TB内存 / 80G显存 / 200Gb计算网络</t>
  </si>
  <si>
    <t>异构加速节点的费用已包含节点CPU的计费。资源折扣可按照销售权限申请。</t>
  </si>
  <si>
    <t>存储资源服务</t>
  </si>
  <si>
    <t>规格</t>
  </si>
  <si>
    <t>单价
(元/TB*月)</t>
  </si>
  <si>
    <t>使用数量
(TB)</t>
  </si>
  <si>
    <t>存储服务</t>
  </si>
  <si>
    <t>所有中心</t>
  </si>
  <si>
    <t>分布式文件存储-1</t>
  </si>
  <si>
    <t>高性能分布式文件存储</t>
  </si>
  <si>
    <t>高IO分布式文件存储</t>
  </si>
  <si>
    <t>全闪存高IO存储</t>
  </si>
  <si>
    <t>开户每账户附赠存储配额500GB(存储资源-1)，资源折扣可按照销售权限申请。</t>
  </si>
  <si>
    <t>专属服务节点</t>
  </si>
  <si>
    <t>产品</t>
  </si>
  <si>
    <t>可用区</t>
  </si>
  <si>
    <t>单位/数量</t>
  </si>
  <si>
    <t>服务配置</t>
  </si>
  <si>
    <t>单价
(元/台月)</t>
  </si>
  <si>
    <t>vlogin</t>
  </si>
  <si>
    <t>西北一区</t>
  </si>
  <si>
    <t>台/1</t>
  </si>
  <si>
    <t>CPU：4C  RAM：24g  DISK：/200G</t>
  </si>
  <si>
    <t>CPU：8C  RAM：48g  DISK：/400G</t>
  </si>
  <si>
    <t>CPU：16C  RAM：32g  DISK：/200G</t>
  </si>
  <si>
    <t>CPU：32C  RAM：64g  DISK：/400G</t>
  </si>
  <si>
    <t>CPU：32C  RAM：32g  DISK：/500G</t>
  </si>
  <si>
    <t>CPU：64C  RAM：64g  DISK：/1000G</t>
  </si>
  <si>
    <t>网络资源服务</t>
  </si>
  <si>
    <t>单价
(元/年)</t>
  </si>
  <si>
    <t>使用数量</t>
  </si>
  <si>
    <t>使用时间
(年)</t>
  </si>
  <si>
    <t>网络服务</t>
  </si>
  <si>
    <t>互联网访问</t>
  </si>
  <si>
    <t>用户账号开户+日常互联网访问</t>
  </si>
  <si>
    <t>网络安全</t>
  </si>
  <si>
    <t>安全网关+加密认证+VPN账户</t>
  </si>
  <si>
    <t>有限免费</t>
  </si>
  <si>
    <t>国内网络带宽</t>
  </si>
  <si>
    <t>电信/联通/科技网企业互联网专线，以1Mb年为单位计价</t>
  </si>
  <si>
    <t>请填写数量(Mb)</t>
  </si>
  <si>
    <t>国际带宽服务</t>
  </si>
  <si>
    <t>专线</t>
  </si>
  <si>
    <t>点对点专用数字链路</t>
  </si>
  <si>
    <t>参照运营商报价</t>
  </si>
  <si>
    <t>IP地址</t>
  </si>
  <si>
    <t>数据中心独立外网IP地址(个)</t>
  </si>
  <si>
    <t>软件及数据服务</t>
  </si>
  <si>
    <t>单价
(元)</t>
  </si>
  <si>
    <t>使用时间</t>
  </si>
  <si>
    <t>基础软件</t>
  </si>
  <si>
    <t>操作系统：CentOS/RedHat/WindowsServer
开发环境： C/C++/Fortran编译器、VTune Amplifier、Inspector、Advisor、Trace Analyzer and Collector等，MPICH2、OpenMPI、Mvapich2等MPI环境，OpenMP并行环境；MKL、BLAS、LAPACK、ScaLAPACK、FFTW等函数库
调度系统：Slurm/SEG/PBS；文件系统：ParaStor/GFS
主流数学库</t>
  </si>
  <si>
    <t>免费</t>
  </si>
  <si>
    <t>可根据实际需求进行软件安装部署与迁移；
购买服务后，登陆scnet.cn查看相关软件服务目录。</t>
  </si>
  <si>
    <t>物理化学材料类软件</t>
  </si>
  <si>
    <t>物理化学材料类 gromacs/lammps/namd/cp2k/abinit/siesta/openmx/quantum espresso等</t>
  </si>
  <si>
    <t>气象软件</t>
  </si>
  <si>
    <t>wrf/wps/roms/cmaq</t>
  </si>
  <si>
    <t>SD3 T2 全球10公里中国2公里模式软件</t>
  </si>
  <si>
    <t>按需定价</t>
  </si>
  <si>
    <t>生信软件</t>
  </si>
  <si>
    <t>bwa/canu/samtools/picardtools/bedtools/blast/Trimmomatic/FastQC/g_mmpbsa/GATK/relion/rosetta</t>
  </si>
  <si>
    <t>工业仿真软件</t>
  </si>
  <si>
    <t>OpenFOAM/SU2/MiniFE/elmer/octave/octave-mt</t>
  </si>
  <si>
    <t>人工智能</t>
  </si>
  <si>
    <t>TensorFlow/PyTorch/PaddlePaddle/MxNet</t>
  </si>
  <si>
    <t>应用数据</t>
  </si>
  <si>
    <t>气候气象资料库/基因组科学数据库等</t>
  </si>
  <si>
    <t>其他服务</t>
  </si>
  <si>
    <t>定制服务</t>
  </si>
  <si>
    <t>其他定制化软件、数据、应用、软件开发、技术支持服务</t>
  </si>
  <si>
    <t>应用性能分析</t>
  </si>
  <si>
    <t>应用计算特征分析服务：处理器、访存、存储、网络特征分析服务</t>
  </si>
  <si>
    <t>应用移植服务</t>
  </si>
  <si>
    <t>X86处理器/异构加速器应用移植服务</t>
  </si>
  <si>
    <t>更多软件及服务请登录scnet.cn查询及订阅</t>
  </si>
  <si>
    <t>总价
(含税价、税率6%)</t>
  </si>
  <si>
    <t>总价
(不含税价)</t>
  </si>
  <si>
    <r>
      <rPr>
        <b/>
        <sz val="16"/>
        <rFont val="微软雅黑"/>
        <family val="2"/>
        <charset val="134"/>
      </rPr>
      <t xml:space="preserve">曙光计算服务资源服务目录及价格表（List Price）
</t>
    </r>
    <r>
      <rPr>
        <sz val="10"/>
        <rFont val="微软雅黑"/>
        <family val="2"/>
        <charset val="134"/>
      </rPr>
      <t>价格单有效期：2025.11.1-2025.11.30</t>
    </r>
  </si>
  <si>
    <t>用户单位</t>
  </si>
  <si>
    <t>用户姓名</t>
  </si>
  <si>
    <t>项目名称</t>
  </si>
  <si>
    <t>联系电话</t>
  </si>
  <si>
    <t>报价单位</t>
  </si>
  <si>
    <t>报价日期</t>
  </si>
  <si>
    <t>收费项</t>
  </si>
  <si>
    <t>规格说明</t>
  </si>
  <si>
    <t>计费模式</t>
  </si>
  <si>
    <t>单位</t>
  </si>
  <si>
    <t>单价（包月）</t>
  </si>
  <si>
    <t>单价（包年）</t>
  </si>
  <si>
    <t>数量</t>
  </si>
  <si>
    <t>总价（包月）</t>
  </si>
  <si>
    <t>总价（包年）</t>
  </si>
  <si>
    <t>规格（必选）</t>
  </si>
  <si>
    <t>裸金属-通用X86-2H3(256GB)</t>
  </si>
  <si>
    <t>2*7285H 32C 2.5GHz处理器 / 256GB内存 / 240GB SSD本地硬盘</t>
  </si>
  <si>
    <t>包年包月</t>
  </si>
  <si>
    <t>台</t>
  </si>
  <si>
    <t>请填写</t>
  </si>
  <si>
    <t>裸金属-通用X86-H1(128GB)</t>
  </si>
  <si>
    <t>1*7185 32C 2.5GHz处理器 / 128GB内存 / 240GB SSD本地硬盘</t>
  </si>
  <si>
    <t>裸金属-通用X86-2H2(256GB)</t>
  </si>
  <si>
    <t>2*7285 32C 2.0GHz处理器 / 256GB内存 / 240GB SSD本地硬盘</t>
  </si>
  <si>
    <t>裸金属-通用X86-2A2(256GB)</t>
  </si>
  <si>
    <t>2*AMD EPYC 7702 64C 2.0GHz处理器 / 256GB内存 / 300GB SAS本地硬盘</t>
  </si>
  <si>
    <t>裸金属-通用X86-2A2(512GB)</t>
  </si>
  <si>
    <t>2*AMD EPYC 7702 64C 2.0GHz处理器 / 512GB内存 / 300GB SAS本地硬盘</t>
  </si>
  <si>
    <t>裸金属-异构节点-4D2-2</t>
  </si>
  <si>
    <t>4*异构加速卡2 / 1*7185 32C 2.0GHz处理器 / 128GB内存 / 32G显存 / 240GB SSD本地硬盘</t>
  </si>
  <si>
    <t>裸金属-异构节点-4D2</t>
  </si>
  <si>
    <t>4*异构加速卡2 / 1*7285 32C 2.0GHz处理器 / 128GB内存 / 16G显存 / 240GB SSD本地硬盘</t>
  </si>
  <si>
    <t>裸金属-异构节点-4D1</t>
  </si>
  <si>
    <t>4*异构加速卡1 / 1*7185 32C 2.0GHz处理器 / 128GB内存 / 16G显存 / 240GB SSD本地硬盘</t>
  </si>
  <si>
    <t>裸金属-异构节点-4D1-2</t>
  </si>
  <si>
    <t>4*异构加速卡1 / 1*7285 32C 2.0GHz处理器 / 128GB内存 / 16G显存 / 240GB SSD本地硬盘</t>
  </si>
  <si>
    <t>裸金属-异构节点-8D3</t>
  </si>
  <si>
    <t>8*异构加速卡AI / 2*7495 64C  2.7GHz处理器  / 1TB内存 / 64G显存</t>
  </si>
  <si>
    <t>裸金属-异构节点-8D3-2</t>
  </si>
  <si>
    <t>8*异构加速卡AI / 2*7375 32C  2.0GHz处理器  / 1TB内存 / 64G显存</t>
  </si>
  <si>
    <t>扩展项（可选）</t>
  </si>
  <si>
    <t>-</t>
  </si>
  <si>
    <t>共享SATA存储</t>
  </si>
  <si>
    <t>可与AC账号共享使用，扩容只收1份费用</t>
  </si>
  <si>
    <t>TB</t>
  </si>
  <si>
    <t>存储默认用本地盘，如需扩容，默认用共享SATA存储</t>
  </si>
  <si>
    <t>共享SSD存储</t>
  </si>
  <si>
    <t>专有存储</t>
  </si>
  <si>
    <t>专属存储系统，不与其他用户共享使用，100TB起步</t>
  </si>
  <si>
    <t>共享带宽</t>
  </si>
  <si>
    <t>与AC账号共享使用，不支持修改带宽</t>
  </si>
  <si>
    <t>按需</t>
  </si>
  <si>
    <t>网络带宽</t>
  </si>
  <si>
    <t>电信/联通/科技网企业互联网专线</t>
  </si>
  <si>
    <t>包年</t>
  </si>
  <si>
    <t>MB</t>
  </si>
  <si>
    <t>弹性公网IP（可选）</t>
  </si>
  <si>
    <t>弹性公网IP</t>
  </si>
  <si>
    <t>数据中心独立外网IP地址</t>
  </si>
  <si>
    <t>次数</t>
  </si>
  <si>
    <t>个</t>
  </si>
  <si>
    <t>操作系统安装服务（可选）</t>
  </si>
  <si>
    <t>操作系统安装服务</t>
  </si>
  <si>
    <t>安装操作系统，不含版权</t>
  </si>
  <si>
    <t>按量</t>
  </si>
  <si>
    <t>台次</t>
  </si>
  <si>
    <t>总价(含税价、税率6%)</t>
  </si>
  <si>
    <t>总价(不含税价)</t>
  </si>
  <si>
    <t>弹性云主机服务目录价格</t>
  </si>
  <si>
    <t>服务描述</t>
  </si>
  <si>
    <t>包月（1M）</t>
  </si>
  <si>
    <t>包一年（1M）</t>
  </si>
  <si>
    <t>包月（5M）</t>
  </si>
  <si>
    <t>包一年（5M）</t>
  </si>
  <si>
    <t>包月（10M）</t>
  </si>
  <si>
    <t>包一年（10M）</t>
  </si>
  <si>
    <t>自定义带宽报价</t>
  </si>
  <si>
    <t>带宽
（请填写所需带宽，建议5M为阶梯即填写5的倍数，最高100M，如15，20……100）</t>
  </si>
  <si>
    <t>包月报价</t>
  </si>
  <si>
    <t>包年报价</t>
  </si>
  <si>
    <t>c1-1.large</t>
  </si>
  <si>
    <t>东北一区</t>
  </si>
  <si>
    <t>X86计算 | 通用计算普通型 | 2核 | 4GB; ｜ 64bit;| 100GB; | 独享 | 按带宽计费；</t>
  </si>
  <si>
    <t>请填写带宽</t>
  </si>
  <si>
    <t>测试用户仅提供最高10M带宽（报价如左所示）。
正式购买用户可申请购买更高带宽，最高为100M。</t>
  </si>
  <si>
    <t>m1-1.large</t>
  </si>
  <si>
    <t xml:space="preserve">X86计算 | 通用计算加强型 | 2核 | 8GB;｜ 64bit;| 100GB; | 独享 | 按带宽计费; </t>
  </si>
  <si>
    <t>c1-1.xlarge</t>
  </si>
  <si>
    <t>X86计算 | 通用计算普通型 | 4核 |8GB; ｜ 64bit;| 100GB; | 独享 | 按带宽计费;</t>
  </si>
  <si>
    <t>m1-1.xlarge</t>
  </si>
  <si>
    <t>X86计算 | 通用计算加强型 | 4核 |16GB; ｜ 64bit;| 100GB; | 独享 | 按带宽计费;</t>
  </si>
  <si>
    <t>c1-1.2xlarge</t>
  </si>
  <si>
    <t>X86计算 | 通用计算普通型 | 8核 |16GB;｜ 64bit;| 100GB; | 独享 | 按带宽计费;</t>
  </si>
  <si>
    <t>m1-1.2xlarge</t>
  </si>
  <si>
    <t>X86计算 | 通用计算加强型 |8核 |32GB; ｜ 64bit;| 100GB; | 独享 | 按带宽计费;</t>
  </si>
  <si>
    <t>a1-1.2xlarge</t>
  </si>
  <si>
    <t>X86计算 | 通用计算增强型 |8核 |64GB;｜ 64bit;| 100GB; | 独享 | 按带宽计费;</t>
  </si>
  <si>
    <t>a1-1.4xlarge</t>
  </si>
  <si>
    <t>X86计算 | 通用计算增强型 |16核 |32GB; ｜ 64bit;| 100GB; | 独享 | 按带宽计费;</t>
  </si>
  <si>
    <t>m1-1.4xlarge</t>
  </si>
  <si>
    <t>X86计算 | 通用计算增强型 |16核 |64GB; ｜ 64bit;| 100GB; | 独享 | 按带宽计费;</t>
  </si>
  <si>
    <t>a1-1m.4xlarge</t>
  </si>
  <si>
    <t>X86计算 | 通用计算增强型 |16核 |128GB; ｜ 64bit;| 100GB; | 独享 | 按带宽计费;</t>
  </si>
  <si>
    <t>a1-1.8xlarge</t>
  </si>
  <si>
    <t>X86计算 | 通用计算增强型 |32核 |64GB; ｜ 64bit;| 100GB; | 独享 | 按带宽计费;</t>
  </si>
  <si>
    <t>m1-1.8xlarge</t>
  </si>
  <si>
    <t>X86计算 | 通用计算增强型 |32核 |128GB; ｜ 64bit;| 100GB; | 独享 | 按带宽计费;</t>
  </si>
  <si>
    <t>a1-1.16xlarge</t>
  </si>
  <si>
    <t>X86计算 | 通用计算增强型 |62核 |128GB; ｜ 64bit;| 100GB; | 独享 | 按带宽计费;</t>
  </si>
  <si>
    <t>c1-2.large</t>
  </si>
  <si>
    <t>m1-2.large</t>
  </si>
  <si>
    <t>c1-2.xlarge</t>
  </si>
  <si>
    <t>m1-2.xlarge</t>
  </si>
  <si>
    <t>c1-2.2xlarge</t>
  </si>
  <si>
    <t>m1-2.2xlarge</t>
  </si>
  <si>
    <t>a1-2.2xlarge</t>
  </si>
  <si>
    <t>a1-2.4xlarge</t>
  </si>
  <si>
    <t>m1-2.4xlarge</t>
  </si>
  <si>
    <t>a1-2m.4xlarge</t>
  </si>
  <si>
    <t>a1-2.8xlarge</t>
  </si>
  <si>
    <t>m1-2.8xlarge</t>
  </si>
  <si>
    <t>a1-2m.8xlarge</t>
  </si>
  <si>
    <t>X86计算 | 通用计算增强型 |32核 |256GB; ｜ 64bit;| 100GB; | 独享 | 按带宽计费;</t>
  </si>
  <si>
    <t>a1-2.16xlarge</t>
  </si>
  <si>
    <t>X86计算 | 通用计算增强型 |64核 |128GB; ｜ 64bit;| 100GB; | 独享 | 按带宽计费;</t>
  </si>
  <si>
    <t>m1-2.16xlarge</t>
  </si>
  <si>
    <t>X86计算 | 通用计算增强型 |64核 |256GB; ｜ 64bit;| 100GB; | 独享 | 按带宽计费;</t>
  </si>
  <si>
    <t>a1-2m.16xlarge</t>
  </si>
  <si>
    <t>X86计算 | 通用计算增强型 |64核 |512GB; ｜ 64bit;| 100GB; | 独享 | 按带宽计费;</t>
  </si>
  <si>
    <t>a1-2.32xlarge</t>
  </si>
  <si>
    <t>X86计算 | 通用计算增强型 |128核 |256GB; ｜ 64bit;| 100GB; | 独享 | 按带宽计费;</t>
  </si>
  <si>
    <t>m1-2.32xlarge</t>
  </si>
  <si>
    <t>X86计算 | 通用计算增强型 |128核 |512GB; ｜ 64bit;| 100GB; | 独享 | 按带宽计费;</t>
  </si>
  <si>
    <t>其他计算资源</t>
  </si>
  <si>
    <t>虚拟主机CPU核</t>
  </si>
  <si>
    <t>单个虚拟化核，主频不小于2.0GHz</t>
  </si>
  <si>
    <t>东北一区/西北一区</t>
  </si>
  <si>
    <t>虚拟主机内存</t>
  </si>
  <si>
    <t>单GB内存，规格不低于DDR4 2133MHz</t>
  </si>
  <si>
    <t>存储资源1TB</t>
  </si>
  <si>
    <t>按TB计费，7.2K SATA</t>
  </si>
  <si>
    <t>10Gb网络</t>
  </si>
  <si>
    <t>为物理服务器增配万兆网络接口，按接口个数计费</t>
  </si>
  <si>
    <t>IP</t>
  </si>
  <si>
    <t>公网IP</t>
  </si>
  <si>
    <t>VPN</t>
  </si>
  <si>
    <t>VPN连接</t>
  </si>
  <si>
    <t>虚拟机操作系统</t>
  </si>
  <si>
    <t>Linux操作系统</t>
  </si>
  <si>
    <t>支持Suse、RedHat、CentOS等常用Linux操作系统的安装、维护，提供：操作系统镜像定制，系统故障定位与排除，性能分析与优化等服务。</t>
  </si>
  <si>
    <t>国产操作系统
（服务器版）</t>
  </si>
  <si>
    <t>国产操作系统（服务器版），提供银河麒麟、中科方德、UOS等主流国产操作系统服务器版的租用、安装、技术支持等服务。</t>
  </si>
  <si>
    <t>国产操作系统
（桌面版）</t>
  </si>
  <si>
    <t>国产操作系统（桌面版），提供中标麒麟、中科方德、UOS等主流国产操作系统桌面版的租用、安装、技术支持等服务。</t>
  </si>
  <si>
    <t>以上为东北一区/西北一区标准云主机产品报价模版，如有客户需要按小时开通，或开通非标准产品，请参考以下报价模式</t>
  </si>
  <si>
    <t>请填写VCPU核数
（不超过62）</t>
  </si>
  <si>
    <t>请填写内存
（一般为核心数2及2的倍数，不超过128）</t>
  </si>
  <si>
    <t>带宽
（试用用户不超过10M，正式用户不超过100M）</t>
  </si>
  <si>
    <t>开通时间
（如客户需按小时开通，小时单位h）</t>
  </si>
  <si>
    <t>报价
（按小时）</t>
  </si>
  <si>
    <t>报价
（包月1M）</t>
  </si>
  <si>
    <t>报价
（包月xxM）</t>
  </si>
  <si>
    <t>报价
（包年xxM）</t>
  </si>
  <si>
    <t>区域</t>
  </si>
  <si>
    <t>VCPU核心数[1,16]
内存不超过128</t>
  </si>
  <si>
    <t>请填写小时</t>
  </si>
  <si>
    <t>包月，包年价格有一定折扣，比按需按小时结算便宜。如按小时开通，请务必填写开通时间，并填写小时单位。
如客户需开通1M带宽，请按照包月1M为准。</t>
  </si>
  <si>
    <t>按小时，VCPU=0.04元/个；
虚拟内存=0.06元/GB</t>
  </si>
  <si>
    <t>VCPU核心数(16,62]
内存不超过128</t>
  </si>
  <si>
    <t>VCPU核心数[1,16]
内存不超过512</t>
  </si>
  <si>
    <t>按小时，VCPU=0.045元/个；
虚拟内存=0.065元/GB</t>
  </si>
  <si>
    <t>VCPU核心数(16,96]
内存不超过512</t>
  </si>
  <si>
    <t>VCPU核心数(96,128]
内存不超过512</t>
  </si>
  <si>
    <t>总价计算（手动复制粘贴）</t>
  </si>
  <si>
    <t>华北一区【雄衡】</t>
    <phoneticPr fontId="28" type="noConversion"/>
  </si>
  <si>
    <t>华东三区【乌镇】
华北一区【雄衡】</t>
    <phoneticPr fontId="28" type="noConversion"/>
  </si>
  <si>
    <t>容器</t>
    <phoneticPr fontId="28" type="noConversion"/>
  </si>
  <si>
    <t>国际带宽（西安、雄衡、达州、青岛、昆山，乌镇，哈尔滨、魏桥、郑州），以1Mb年为单位计价，支持按月下单，¥100元/(Mb*月)</t>
    <phoneticPr fontId="28" type="noConversion"/>
  </si>
  <si>
    <r>
      <t xml:space="preserve">曙光计算服务资源服务目录及价格表（List Price）
</t>
    </r>
    <r>
      <rPr>
        <sz val="10"/>
        <rFont val="微软雅黑"/>
        <family val="2"/>
        <charset val="134"/>
      </rPr>
      <t>价格单有效期：2026.5.1-2026.5.31</t>
    </r>
    <phoneticPr fontId="28" type="noConversion"/>
  </si>
  <si>
    <t>华东四区【山东】</t>
    <phoneticPr fontId="28" type="noConversion"/>
  </si>
  <si>
    <t>华中三区【武汉】</t>
    <phoneticPr fontId="28" type="noConversion"/>
  </si>
  <si>
    <t>西北一区【西安】
华东三区【乌镇】
西南一区【四川】                            
华北一区【雄衡】
华东四区【山东】
华中三区【武汉】
华北二区【太原】</t>
    <phoneticPr fontId="28" type="noConversion"/>
  </si>
  <si>
    <t>西北一区【西安】</t>
    <phoneticPr fontId="28" type="noConversion"/>
  </si>
  <si>
    <t>1*X86 7380H 32C 2.7GHz处理器 / 256GB内存 / 200Gb计算网络</t>
    <phoneticPr fontId="28" type="noConversion"/>
  </si>
  <si>
    <t>X86 64C 2.9GHz 256GB</t>
    <phoneticPr fontId="28" type="noConversion"/>
  </si>
  <si>
    <t>2*AMD EPYC 7542 32C 2.9GHz处理器 / 256GB内存 / 100Gb计算网络</t>
    <phoneticPr fontId="28" type="noConversion"/>
  </si>
  <si>
    <r>
      <rPr>
        <b/>
        <sz val="10"/>
        <color rgb="FFFF0000"/>
        <rFont val="微软雅黑"/>
        <family val="2"/>
        <charset val="134"/>
      </rPr>
      <t>华东三区【乌镇】</t>
    </r>
    <r>
      <rPr>
        <b/>
        <sz val="10"/>
        <color indexed="8"/>
        <rFont val="微软雅黑"/>
        <family val="2"/>
        <charset val="134"/>
      </rPr>
      <t xml:space="preserve">
</t>
    </r>
    <r>
      <rPr>
        <sz val="10"/>
        <color rgb="FF000000"/>
        <rFont val="微软雅黑"/>
        <family val="2"/>
        <charset val="134"/>
      </rPr>
      <t>华北一区【雄衡】</t>
    </r>
    <phoneticPr fontId="28" type="noConversion"/>
  </si>
  <si>
    <r>
      <rPr>
        <sz val="10"/>
        <color theme="1"/>
        <rFont val="微软雅黑"/>
        <family val="2"/>
        <charset val="134"/>
      </rPr>
      <t>西北一区【西安】</t>
    </r>
    <r>
      <rPr>
        <sz val="10"/>
        <color rgb="FFFF0000"/>
        <rFont val="微软雅黑"/>
        <family val="2"/>
        <charset val="134"/>
      </rPr>
      <t xml:space="preserve">
</t>
    </r>
    <r>
      <rPr>
        <b/>
        <sz val="10"/>
        <color rgb="FFFF0000"/>
        <rFont val="微软雅黑"/>
        <family val="2"/>
        <charset val="134"/>
      </rPr>
      <t>华东三区【乌镇】</t>
    </r>
    <phoneticPr fontId="28" type="noConversion"/>
  </si>
  <si>
    <r>
      <rPr>
        <sz val="10"/>
        <color theme="1"/>
        <rFont val="微软雅黑"/>
        <family val="2"/>
        <charset val="134"/>
      </rPr>
      <t>西北一区【西安】</t>
    </r>
    <r>
      <rPr>
        <b/>
        <sz val="10"/>
        <color rgb="FFFF0000"/>
        <rFont val="微软雅黑"/>
        <family val="2"/>
        <charset val="134"/>
      </rPr>
      <t xml:space="preserve">
华北二区【太原】</t>
    </r>
    <phoneticPr fontId="28" type="noConversion"/>
  </si>
  <si>
    <r>
      <t xml:space="preserve">1核时=1核心*1小时
1卡时=1卡*1小时
</t>
    </r>
    <r>
      <rPr>
        <b/>
        <sz val="10"/>
        <color rgb="FFFF0000"/>
        <rFont val="微软雅黑"/>
        <family val="2"/>
        <charset val="134"/>
      </rPr>
      <t>5月主推资源已标记为红色粗体</t>
    </r>
    <phoneticPr fontId="28" type="noConversion"/>
  </si>
  <si>
    <t>华东三区【乌镇】</t>
    <phoneticPr fontId="28" type="noConversion"/>
  </si>
  <si>
    <t>共享、独占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</si>
</sst>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 &quot;￥&quot;* #,##0.00_ ;_ &quot;￥&quot;* \-#,##0.00_ ;_ &quot;￥&quot;* &quot;-&quot;??_ ;_ @_ "/>
    <numFmt numFmtId="177" formatCode="\¥#,##0.00_);[Red]\(\¥#,##0.00\)"/>
    <numFmt numFmtId="178" formatCode="&quot;￥&quot;#,##0.00_);[Red]\(&quot;￥&quot;#,##0.00\)"/>
    <numFmt numFmtId="179" formatCode="\¥#,##0.00;\¥\-#,##0.00"/>
    <numFmt numFmtId="180" formatCode="0_);[Red]\(0\)"/>
  </numFmts>
  <fonts count="31">
    <font>
      <sz val="11"/>
      <color theme="1"/>
      <name val="等线"/>
      <charset val="134"/>
      <scheme val="minor"/>
    </font>
    <font>
      <sz val="11"/>
      <color theme="1"/>
      <name val="仿宋"/>
      <family val="3"/>
      <charset val="134"/>
    </font>
    <font>
      <sz val="12"/>
      <color rgb="FFFF0000"/>
      <name val="仿宋"/>
      <family val="3"/>
      <charset val="134"/>
    </font>
    <font>
      <sz val="22"/>
      <name val="仿宋"/>
      <family val="3"/>
      <charset val="134"/>
    </font>
    <font>
      <sz val="11"/>
      <name val="仿宋"/>
      <family val="3"/>
      <charset val="134"/>
    </font>
    <font>
      <sz val="18"/>
      <name val="仿宋"/>
      <family val="3"/>
      <charset val="134"/>
    </font>
    <font>
      <b/>
      <sz val="12"/>
      <color theme="1"/>
      <name val="仿宋"/>
      <family val="3"/>
      <charset val="134"/>
    </font>
    <font>
      <b/>
      <sz val="12"/>
      <color theme="0"/>
      <name val="仿宋"/>
      <family val="3"/>
      <charset val="134"/>
    </font>
    <font>
      <b/>
      <sz val="16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i/>
      <sz val="10"/>
      <color rgb="FFFF0000"/>
      <name val="微软雅黑"/>
      <family val="2"/>
      <charset val="134"/>
    </font>
    <font>
      <sz val="11"/>
      <name val="等线"/>
      <family val="3"/>
      <charset val="134"/>
      <scheme val="minor"/>
    </font>
    <font>
      <b/>
      <sz val="14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4" tint="0.399853511154515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>
      <alignment vertical="center"/>
    </xf>
    <xf numFmtId="176" fontId="21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</cellStyleXfs>
  <cellXfs count="257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 wrapText="1"/>
      <protection hidden="1"/>
    </xf>
    <xf numFmtId="177" fontId="1" fillId="0" borderId="0" xfId="0" applyNumberFormat="1" applyFont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1" fillId="0" borderId="0" xfId="0" applyFont="1" applyProtection="1">
      <alignment vertical="center"/>
      <protection hidden="1"/>
    </xf>
    <xf numFmtId="177" fontId="2" fillId="0" borderId="0" xfId="0" applyNumberFormat="1" applyFont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177" fontId="4" fillId="0" borderId="2" xfId="0" applyNumberFormat="1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6" fillId="3" borderId="1" xfId="0" applyFont="1" applyFill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177" fontId="4" fillId="0" borderId="1" xfId="0" applyNumberFormat="1" applyFont="1" applyBorder="1" applyAlignment="1" applyProtection="1">
      <alignment horizontal="center" vertical="center" wrapText="1"/>
      <protection hidden="1"/>
    </xf>
    <xf numFmtId="177" fontId="1" fillId="0" borderId="1" xfId="0" applyNumberFormat="1" applyFont="1" applyBorder="1" applyAlignment="1" applyProtection="1">
      <alignment horizontal="center" vertical="center" wrapText="1"/>
      <protection hidden="1"/>
    </xf>
    <xf numFmtId="177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 applyProtection="1">
      <alignment horizontal="center" vertical="center"/>
      <protection hidden="1"/>
    </xf>
    <xf numFmtId="177" fontId="4" fillId="0" borderId="2" xfId="0" applyNumberFormat="1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12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 wrapText="1"/>
    </xf>
    <xf numFmtId="178" fontId="13" fillId="6" borderId="1" xfId="0" applyNumberFormat="1" applyFont="1" applyFill="1" applyBorder="1" applyAlignment="1">
      <alignment horizontal="left" vertical="center" wrapText="1"/>
    </xf>
    <xf numFmtId="178" fontId="13" fillId="6" borderId="1" xfId="1" applyNumberFormat="1" applyFont="1" applyFill="1" applyBorder="1" applyAlignment="1">
      <alignment horizontal="left" vertical="center" wrapText="1"/>
    </xf>
    <xf numFmtId="177" fontId="13" fillId="6" borderId="1" xfId="0" applyNumberFormat="1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178" fontId="14" fillId="0" borderId="1" xfId="0" applyNumberFormat="1" applyFont="1" applyBorder="1" applyAlignment="1">
      <alignment horizontal="right" vertical="center"/>
    </xf>
    <xf numFmtId="178" fontId="14" fillId="0" borderId="1" xfId="1" applyNumberFormat="1" applyFont="1" applyFill="1" applyBorder="1" applyAlignment="1">
      <alignment horizontal="right" vertical="center"/>
    </xf>
    <xf numFmtId="0" fontId="14" fillId="7" borderId="1" xfId="0" applyFont="1" applyFill="1" applyBorder="1" applyAlignment="1">
      <alignment horizontal="left" vertical="center"/>
    </xf>
    <xf numFmtId="178" fontId="14" fillId="7" borderId="1" xfId="0" applyNumberFormat="1" applyFont="1" applyFill="1" applyBorder="1" applyAlignment="1">
      <alignment horizontal="right" vertical="center"/>
    </xf>
    <xf numFmtId="178" fontId="14" fillId="7" borderId="1" xfId="1" applyNumberFormat="1" applyFont="1" applyFill="1" applyBorder="1" applyAlignment="1">
      <alignment horizontal="right" vertical="center"/>
    </xf>
    <xf numFmtId="0" fontId="14" fillId="7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178" fontId="16" fillId="6" borderId="1" xfId="0" applyNumberFormat="1" applyFont="1" applyFill="1" applyBorder="1" applyAlignment="1">
      <alignment horizontal="right" vertical="center"/>
    </xf>
    <xf numFmtId="0" fontId="0" fillId="6" borderId="1" xfId="0" applyFill="1" applyBorder="1">
      <alignment vertical="center"/>
    </xf>
    <xf numFmtId="0" fontId="0" fillId="0" borderId="0" xfId="0" applyAlignment="1">
      <alignment vertical="center" wrapText="1"/>
    </xf>
    <xf numFmtId="0" fontId="18" fillId="9" borderId="2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 wrapText="1"/>
    </xf>
    <xf numFmtId="0" fontId="15" fillId="9" borderId="1" xfId="2" applyFont="1" applyFill="1" applyBorder="1" applyAlignment="1">
      <alignment horizontal="left" vertical="center"/>
    </xf>
    <xf numFmtId="0" fontId="15" fillId="9" borderId="1" xfId="2" applyFont="1" applyFill="1" applyBorder="1" applyAlignment="1">
      <alignment horizontal="left" vertical="center" wrapText="1"/>
    </xf>
    <xf numFmtId="179" fontId="15" fillId="9" borderId="1" xfId="3" applyNumberFormat="1" applyFont="1" applyFill="1" applyBorder="1" applyAlignment="1">
      <alignment horizontal="center" vertical="center"/>
    </xf>
    <xf numFmtId="177" fontId="19" fillId="9" borderId="1" xfId="0" applyNumberFormat="1" applyFont="1" applyFill="1" applyBorder="1" applyAlignment="1">
      <alignment horizontal="center" vertical="center" wrapText="1"/>
    </xf>
    <xf numFmtId="180" fontId="20" fillId="9" borderId="1" xfId="0" applyNumberFormat="1" applyFont="1" applyFill="1" applyBorder="1" applyAlignment="1">
      <alignment horizontal="center" vertical="center"/>
    </xf>
    <xf numFmtId="180" fontId="20" fillId="9" borderId="2" xfId="0" applyNumberFormat="1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center" vertical="center" wrapText="1"/>
    </xf>
    <xf numFmtId="177" fontId="19" fillId="9" borderId="2" xfId="0" applyNumberFormat="1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20" fillId="9" borderId="1" xfId="2" applyFont="1" applyFill="1" applyBorder="1" applyAlignment="1">
      <alignment horizontal="left" vertical="center"/>
    </xf>
    <xf numFmtId="0" fontId="20" fillId="9" borderId="2" xfId="0" applyFont="1" applyFill="1" applyBorder="1" applyAlignment="1">
      <alignment horizontal="left" vertical="center"/>
    </xf>
    <xf numFmtId="0" fontId="20" fillId="9" borderId="1" xfId="2" applyFont="1" applyFill="1" applyBorder="1" applyAlignment="1">
      <alignment horizontal="left" vertical="center" wrapText="1"/>
    </xf>
    <xf numFmtId="179" fontId="20" fillId="9" borderId="1" xfId="3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 wrapText="1"/>
    </xf>
    <xf numFmtId="0" fontId="15" fillId="10" borderId="1" xfId="2" applyFont="1" applyFill="1" applyBorder="1" applyAlignment="1">
      <alignment horizontal="left" vertical="center"/>
    </xf>
    <xf numFmtId="0" fontId="19" fillId="10" borderId="1" xfId="0" applyFont="1" applyFill="1" applyBorder="1" applyAlignment="1">
      <alignment horizontal="left" vertical="center"/>
    </xf>
    <xf numFmtId="0" fontId="15" fillId="10" borderId="1" xfId="2" applyFont="1" applyFill="1" applyBorder="1" applyAlignment="1">
      <alignment horizontal="left" vertical="center" wrapText="1"/>
    </xf>
    <xf numFmtId="179" fontId="15" fillId="10" borderId="1" xfId="3" applyNumberFormat="1" applyFont="1" applyFill="1" applyBorder="1" applyAlignment="1">
      <alignment horizontal="center" vertical="center"/>
    </xf>
    <xf numFmtId="177" fontId="19" fillId="10" borderId="1" xfId="0" applyNumberFormat="1" applyFont="1" applyFill="1" applyBorder="1" applyAlignment="1">
      <alignment horizontal="center" vertical="center" wrapText="1"/>
    </xf>
    <xf numFmtId="180" fontId="20" fillId="10" borderId="1" xfId="0" applyNumberFormat="1" applyFont="1" applyFill="1" applyBorder="1" applyAlignment="1">
      <alignment horizontal="center" vertical="center"/>
    </xf>
    <xf numFmtId="180" fontId="20" fillId="10" borderId="2" xfId="0" applyNumberFormat="1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 wrapText="1"/>
    </xf>
    <xf numFmtId="177" fontId="19" fillId="10" borderId="2" xfId="0" applyNumberFormat="1" applyFont="1" applyFill="1" applyBorder="1" applyAlignment="1">
      <alignment horizontal="center" vertical="center" wrapText="1"/>
    </xf>
    <xf numFmtId="0" fontId="20" fillId="10" borderId="1" xfId="2" applyFont="1" applyFill="1" applyBorder="1" applyAlignment="1">
      <alignment horizontal="left" vertical="center"/>
    </xf>
    <xf numFmtId="0" fontId="20" fillId="10" borderId="1" xfId="2" applyFont="1" applyFill="1" applyBorder="1" applyAlignment="1">
      <alignment horizontal="left" vertical="center" wrapText="1"/>
    </xf>
    <xf numFmtId="179" fontId="20" fillId="10" borderId="1" xfId="3" applyNumberFormat="1" applyFont="1" applyFill="1" applyBorder="1" applyAlignment="1">
      <alignment horizontal="center" vertical="center"/>
    </xf>
    <xf numFmtId="0" fontId="14" fillId="10" borderId="1" xfId="2" applyFont="1" applyFill="1" applyBorder="1" applyAlignment="1">
      <alignment horizontal="left" vertical="center"/>
    </xf>
    <xf numFmtId="0" fontId="14" fillId="10" borderId="1" xfId="2" applyFont="1" applyFill="1" applyBorder="1" applyAlignment="1">
      <alignment horizontal="left" vertical="center" wrapText="1"/>
    </xf>
    <xf numFmtId="179" fontId="14" fillId="10" borderId="1" xfId="3" applyNumberFormat="1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/>
    </xf>
    <xf numFmtId="0" fontId="20" fillId="9" borderId="1" xfId="0" applyFont="1" applyFill="1" applyBorder="1">
      <alignment vertical="center"/>
    </xf>
    <xf numFmtId="0" fontId="15" fillId="9" borderId="6" xfId="2" applyFont="1" applyFill="1" applyBorder="1" applyAlignment="1">
      <alignment horizontal="left" vertical="center"/>
    </xf>
    <xf numFmtId="0" fontId="18" fillId="11" borderId="2" xfId="0" applyFont="1" applyFill="1" applyBorder="1" applyAlignment="1">
      <alignment horizontal="center" vertical="center"/>
    </xf>
    <xf numFmtId="0" fontId="20" fillId="11" borderId="1" xfId="2" applyFont="1" applyFill="1" applyBorder="1" applyAlignment="1">
      <alignment horizontal="left" vertical="center"/>
    </xf>
    <xf numFmtId="0" fontId="15" fillId="11" borderId="1" xfId="0" applyFont="1" applyFill="1" applyBorder="1">
      <alignment vertical="center"/>
    </xf>
    <xf numFmtId="0" fontId="20" fillId="11" borderId="1" xfId="2" applyFont="1" applyFill="1" applyBorder="1" applyAlignment="1">
      <alignment horizontal="left" vertical="center" wrapText="1"/>
    </xf>
    <xf numFmtId="179" fontId="14" fillId="11" borderId="1" xfId="3" applyNumberFormat="1" applyFont="1" applyFill="1" applyBorder="1" applyAlignment="1">
      <alignment horizontal="center" vertical="center"/>
    </xf>
    <xf numFmtId="177" fontId="19" fillId="11" borderId="1" xfId="0" applyNumberFormat="1" applyFont="1" applyFill="1" applyBorder="1" applyAlignment="1">
      <alignment horizontal="center" vertical="center" wrapText="1"/>
    </xf>
    <xf numFmtId="180" fontId="20" fillId="11" borderId="1" xfId="0" applyNumberFormat="1" applyFont="1" applyFill="1" applyBorder="1" applyAlignment="1">
      <alignment horizontal="center" vertical="center"/>
    </xf>
    <xf numFmtId="177" fontId="19" fillId="11" borderId="2" xfId="0" applyNumberFormat="1" applyFont="1" applyFill="1" applyBorder="1" applyAlignment="1">
      <alignment horizontal="center" vertical="center" wrapText="1"/>
    </xf>
    <xf numFmtId="179" fontId="20" fillId="11" borderId="1" xfId="3" applyNumberFormat="1" applyFont="1" applyFill="1" applyBorder="1" applyAlignment="1">
      <alignment horizontal="center" vertical="center"/>
    </xf>
    <xf numFmtId="180" fontId="20" fillId="11" borderId="2" xfId="0" applyNumberFormat="1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 wrapText="1"/>
    </xf>
    <xf numFmtId="0" fontId="15" fillId="11" borderId="1" xfId="2" applyFont="1" applyFill="1" applyBorder="1" applyAlignment="1">
      <alignment horizontal="left" vertical="center"/>
    </xf>
    <xf numFmtId="0" fontId="15" fillId="11" borderId="1" xfId="2" applyFont="1" applyFill="1" applyBorder="1" applyAlignment="1">
      <alignment horizontal="left" vertical="center" wrapText="1"/>
    </xf>
    <xf numFmtId="179" fontId="15" fillId="11" borderId="1" xfId="3" applyNumberFormat="1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left" vertical="center"/>
    </xf>
    <xf numFmtId="0" fontId="19" fillId="11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/>
    </xf>
    <xf numFmtId="177" fontId="15" fillId="9" borderId="1" xfId="2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14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5" fillId="9" borderId="6" xfId="2" applyFont="1" applyFill="1" applyBorder="1" applyAlignment="1">
      <alignment horizontal="center" vertical="center"/>
    </xf>
    <xf numFmtId="177" fontId="15" fillId="9" borderId="6" xfId="2" applyNumberFormat="1" applyFont="1" applyFill="1" applyBorder="1" applyAlignment="1">
      <alignment horizontal="center" vertical="center"/>
    </xf>
    <xf numFmtId="0" fontId="15" fillId="7" borderId="10" xfId="2" applyFont="1" applyFill="1" applyBorder="1" applyAlignment="1">
      <alignment horizontal="center" vertical="center"/>
    </xf>
    <xf numFmtId="0" fontId="15" fillId="7" borderId="14" xfId="2" applyFont="1" applyFill="1" applyBorder="1" applyAlignment="1">
      <alignment horizontal="center" vertical="center"/>
    </xf>
    <xf numFmtId="0" fontId="15" fillId="7" borderId="14" xfId="2" applyFont="1" applyFill="1" applyBorder="1" applyAlignment="1">
      <alignment horizontal="left" vertical="center"/>
    </xf>
    <xf numFmtId="177" fontId="15" fillId="7" borderId="14" xfId="2" applyNumberFormat="1" applyFont="1" applyFill="1" applyBorder="1" applyAlignment="1">
      <alignment horizontal="center" vertical="center"/>
    </xf>
    <xf numFmtId="180" fontId="19" fillId="7" borderId="4" xfId="0" applyNumberFormat="1" applyFont="1" applyFill="1" applyBorder="1" applyAlignment="1">
      <alignment horizontal="center" vertical="center"/>
    </xf>
    <xf numFmtId="180" fontId="19" fillId="7" borderId="14" xfId="0" applyNumberFormat="1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left" vertical="center"/>
    </xf>
    <xf numFmtId="0" fontId="15" fillId="9" borderId="1" xfId="2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0" fontId="15" fillId="7" borderId="4" xfId="2" applyFont="1" applyFill="1" applyBorder="1" applyAlignment="1">
      <alignment horizontal="center" vertical="center"/>
    </xf>
    <xf numFmtId="0" fontId="15" fillId="7" borderId="4" xfId="2" applyFont="1" applyFill="1" applyBorder="1" applyAlignment="1">
      <alignment horizontal="left" vertical="center" wrapText="1"/>
    </xf>
    <xf numFmtId="179" fontId="15" fillId="7" borderId="4" xfId="3" applyNumberFormat="1" applyFont="1" applyFill="1" applyBorder="1" applyAlignment="1">
      <alignment horizontal="center" vertical="center"/>
    </xf>
    <xf numFmtId="0" fontId="15" fillId="9" borderId="2" xfId="2" applyFont="1" applyFill="1" applyBorder="1" applyAlignment="1">
      <alignment horizontal="center" vertical="center"/>
    </xf>
    <xf numFmtId="0" fontId="15" fillId="9" borderId="1" xfId="2" applyFont="1" applyFill="1" applyBorder="1" applyAlignment="1">
      <alignment horizontal="center" vertical="center" wrapText="1"/>
    </xf>
    <xf numFmtId="0" fontId="20" fillId="10" borderId="2" xfId="2" applyFont="1" applyFill="1" applyBorder="1" applyAlignment="1">
      <alignment horizontal="left" vertical="center"/>
    </xf>
    <xf numFmtId="0" fontId="15" fillId="10" borderId="1" xfId="0" applyFont="1" applyFill="1" applyBorder="1" applyAlignment="1">
      <alignment vertical="center" wrapText="1"/>
    </xf>
    <xf numFmtId="0" fontId="29" fillId="9" borderId="1" xfId="0" applyFont="1" applyFill="1" applyBorder="1" applyAlignment="1">
      <alignment horizontal="left" vertical="center" wrapText="1"/>
    </xf>
    <xf numFmtId="0" fontId="30" fillId="9" borderId="1" xfId="2" applyFont="1" applyFill="1" applyBorder="1" applyAlignment="1">
      <alignment horizontal="left" vertical="center"/>
    </xf>
    <xf numFmtId="0" fontId="30" fillId="9" borderId="1" xfId="0" applyFont="1" applyFill="1" applyBorder="1" applyAlignment="1">
      <alignment horizontal="left" vertical="center" wrapText="1"/>
    </xf>
    <xf numFmtId="0" fontId="30" fillId="9" borderId="1" xfId="0" applyFont="1" applyFill="1" applyBorder="1" applyAlignment="1">
      <alignment horizontal="left" vertical="center"/>
    </xf>
    <xf numFmtId="0" fontId="30" fillId="9" borderId="1" xfId="2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left" vertical="center"/>
    </xf>
    <xf numFmtId="0" fontId="11" fillId="9" borderId="7" xfId="0" applyFont="1" applyFill="1" applyBorder="1" applyAlignment="1">
      <alignment horizontal="left" vertical="center"/>
    </xf>
    <xf numFmtId="0" fontId="11" fillId="9" borderId="6" xfId="0" applyFont="1" applyFill="1" applyBorder="1" applyAlignment="1">
      <alignment horizontal="left" vertical="center"/>
    </xf>
    <xf numFmtId="180" fontId="19" fillId="9" borderId="2" xfId="0" applyNumberFormat="1" applyFont="1" applyFill="1" applyBorder="1" applyAlignment="1">
      <alignment horizontal="left" vertical="center" wrapText="1"/>
    </xf>
    <xf numFmtId="180" fontId="19" fillId="9" borderId="7" xfId="0" applyNumberFormat="1" applyFont="1" applyFill="1" applyBorder="1" applyAlignment="1">
      <alignment horizontal="left" vertical="center" wrapText="1"/>
    </xf>
    <xf numFmtId="180" fontId="19" fillId="9" borderId="6" xfId="0" applyNumberFormat="1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5" fillId="9" borderId="2" xfId="2" applyFont="1" applyFill="1" applyBorder="1" applyAlignment="1">
      <alignment horizontal="left" vertical="center"/>
    </xf>
    <xf numFmtId="0" fontId="15" fillId="9" borderId="7" xfId="2" applyFont="1" applyFill="1" applyBorder="1" applyAlignment="1">
      <alignment horizontal="left" vertical="center"/>
    </xf>
    <xf numFmtId="0" fontId="15" fillId="9" borderId="6" xfId="2" applyFont="1" applyFill="1" applyBorder="1" applyAlignment="1">
      <alignment horizontal="left" vertical="center"/>
    </xf>
    <xf numFmtId="0" fontId="15" fillId="11" borderId="2" xfId="2" applyFont="1" applyFill="1" applyBorder="1" applyAlignment="1">
      <alignment horizontal="left" vertical="center"/>
    </xf>
    <xf numFmtId="0" fontId="15" fillId="11" borderId="6" xfId="2" applyFont="1" applyFill="1" applyBorder="1" applyAlignment="1">
      <alignment horizontal="left" vertical="center"/>
    </xf>
    <xf numFmtId="0" fontId="19" fillId="11" borderId="2" xfId="0" applyFont="1" applyFill="1" applyBorder="1" applyAlignment="1">
      <alignment horizontal="left" vertical="center"/>
    </xf>
    <xf numFmtId="0" fontId="19" fillId="11" borderId="7" xfId="0" applyFont="1" applyFill="1" applyBorder="1" applyAlignment="1">
      <alignment horizontal="left" vertical="center"/>
    </xf>
    <xf numFmtId="0" fontId="19" fillId="11" borderId="6" xfId="0" applyFont="1" applyFill="1" applyBorder="1" applyAlignment="1">
      <alignment horizontal="left" vertical="center"/>
    </xf>
    <xf numFmtId="0" fontId="15" fillId="9" borderId="2" xfId="2" applyFont="1" applyFill="1" applyBorder="1" applyAlignment="1">
      <alignment horizontal="center" vertical="center"/>
    </xf>
    <xf numFmtId="0" fontId="15" fillId="9" borderId="6" xfId="2" applyFont="1" applyFill="1" applyBorder="1" applyAlignment="1">
      <alignment horizontal="center" vertical="center"/>
    </xf>
    <xf numFmtId="180" fontId="19" fillId="9" borderId="1" xfId="0" applyNumberFormat="1" applyFont="1" applyFill="1" applyBorder="1" applyAlignment="1">
      <alignment horizontal="center" vertical="center"/>
    </xf>
    <xf numFmtId="180" fontId="19" fillId="9" borderId="3" xfId="0" applyNumberFormat="1" applyFont="1" applyFill="1" applyBorder="1" applyAlignment="1">
      <alignment horizontal="center" vertical="center"/>
    </xf>
    <xf numFmtId="180" fontId="19" fillId="9" borderId="5" xfId="0" applyNumberFormat="1" applyFont="1" applyFill="1" applyBorder="1" applyAlignment="1">
      <alignment horizontal="center" vertical="center"/>
    </xf>
    <xf numFmtId="177" fontId="15" fillId="9" borderId="3" xfId="2" applyNumberFormat="1" applyFont="1" applyFill="1" applyBorder="1" applyAlignment="1">
      <alignment horizontal="center" vertical="center" wrapText="1"/>
    </xf>
    <xf numFmtId="177" fontId="15" fillId="9" borderId="5" xfId="2" applyNumberFormat="1" applyFont="1" applyFill="1" applyBorder="1" applyAlignment="1">
      <alignment horizontal="center" vertical="center" wrapText="1"/>
    </xf>
    <xf numFmtId="0" fontId="15" fillId="9" borderId="3" xfId="2" applyFont="1" applyFill="1" applyBorder="1" applyAlignment="1">
      <alignment horizontal="center" vertical="center" wrapText="1"/>
    </xf>
    <xf numFmtId="0" fontId="15" fillId="9" borderId="5" xfId="2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left" vertical="center"/>
    </xf>
    <xf numFmtId="0" fontId="15" fillId="11" borderId="2" xfId="0" applyFont="1" applyFill="1" applyBorder="1" applyAlignment="1">
      <alignment horizontal="left" vertical="center"/>
    </xf>
    <xf numFmtId="0" fontId="15" fillId="11" borderId="6" xfId="0" applyFont="1" applyFill="1" applyBorder="1" applyAlignment="1">
      <alignment horizontal="left" vertical="center"/>
    </xf>
    <xf numFmtId="0" fontId="15" fillId="9" borderId="3" xfId="2" applyFont="1" applyFill="1" applyBorder="1" applyAlignment="1">
      <alignment horizontal="left" vertical="center" wrapText="1"/>
    </xf>
    <xf numFmtId="0" fontId="15" fillId="9" borderId="5" xfId="2" applyFont="1" applyFill="1" applyBorder="1" applyAlignment="1">
      <alignment horizontal="left" vertical="center" wrapText="1"/>
    </xf>
    <xf numFmtId="0" fontId="22" fillId="0" borderId="9" xfId="2" applyFont="1" applyBorder="1" applyAlignment="1">
      <alignment horizontal="left" vertical="center" wrapText="1"/>
    </xf>
    <xf numFmtId="0" fontId="22" fillId="0" borderId="0" xfId="2" applyFont="1" applyAlignment="1">
      <alignment horizontal="left" vertical="center" wrapText="1"/>
    </xf>
    <xf numFmtId="0" fontId="22" fillId="0" borderId="13" xfId="2" applyFont="1" applyBorder="1" applyAlignment="1">
      <alignment horizontal="left" vertical="center" wrapText="1"/>
    </xf>
    <xf numFmtId="0" fontId="24" fillId="8" borderId="3" xfId="2" applyFont="1" applyFill="1" applyBorder="1" applyAlignment="1">
      <alignment horizontal="center" vertical="center" wrapText="1"/>
    </xf>
    <xf numFmtId="0" fontId="24" fillId="8" borderId="4" xfId="2" applyFont="1" applyFill="1" applyBorder="1" applyAlignment="1">
      <alignment horizontal="center" vertical="center" wrapText="1"/>
    </xf>
    <xf numFmtId="0" fontId="24" fillId="8" borderId="5" xfId="2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5" xfId="0" applyFont="1" applyFill="1" applyBorder="1" applyAlignment="1">
      <alignment horizontal="center" vertical="center" wrapText="1"/>
    </xf>
    <xf numFmtId="0" fontId="15" fillId="9" borderId="1" xfId="2" applyFont="1" applyFill="1" applyBorder="1" applyAlignment="1">
      <alignment horizontal="left" vertical="center" wrapText="1"/>
    </xf>
    <xf numFmtId="177" fontId="15" fillId="9" borderId="1" xfId="2" applyNumberFormat="1" applyFont="1" applyFill="1" applyBorder="1" applyAlignment="1">
      <alignment horizontal="center" vertical="center" wrapText="1"/>
    </xf>
    <xf numFmtId="177" fontId="15" fillId="9" borderId="1" xfId="2" applyNumberFormat="1" applyFont="1" applyFill="1" applyBorder="1" applyAlignment="1">
      <alignment horizontal="center" vertical="center"/>
    </xf>
    <xf numFmtId="0" fontId="22" fillId="7" borderId="3" xfId="2" applyFont="1" applyFill="1" applyBorder="1" applyAlignment="1">
      <alignment horizontal="left" vertical="center"/>
    </xf>
    <xf numFmtId="0" fontId="22" fillId="7" borderId="4" xfId="2" applyFont="1" applyFill="1" applyBorder="1" applyAlignment="1">
      <alignment horizontal="left" vertical="center"/>
    </xf>
    <xf numFmtId="0" fontId="22" fillId="7" borderId="5" xfId="2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18" fillId="10" borderId="7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left" vertical="center"/>
    </xf>
    <xf numFmtId="0" fontId="18" fillId="10" borderId="7" xfId="0" applyFont="1" applyFill="1" applyBorder="1" applyAlignment="1">
      <alignment horizontal="left" vertical="center"/>
    </xf>
    <xf numFmtId="0" fontId="18" fillId="10" borderId="6" xfId="0" applyFont="1" applyFill="1" applyBorder="1" applyAlignment="1">
      <alignment horizontal="left" vertical="center"/>
    </xf>
    <xf numFmtId="0" fontId="18" fillId="11" borderId="2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0" fontId="18" fillId="11" borderId="7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left" vertical="center" wrapText="1"/>
    </xf>
    <xf numFmtId="0" fontId="18" fillId="9" borderId="7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/>
    </xf>
    <xf numFmtId="0" fontId="30" fillId="9" borderId="2" xfId="0" applyFont="1" applyFill="1" applyBorder="1" applyAlignment="1">
      <alignment horizontal="left" vertical="center"/>
    </xf>
    <xf numFmtId="0" fontId="30" fillId="9" borderId="6" xfId="0" applyFont="1" applyFill="1" applyBorder="1" applyAlignment="1">
      <alignment horizontal="left" vertical="center"/>
    </xf>
    <xf numFmtId="0" fontId="19" fillId="10" borderId="2" xfId="0" applyFont="1" applyFill="1" applyBorder="1" applyAlignment="1">
      <alignment horizontal="left" vertical="center"/>
    </xf>
    <xf numFmtId="0" fontId="19" fillId="10" borderId="6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left" vertical="center"/>
    </xf>
    <xf numFmtId="0" fontId="15" fillId="9" borderId="7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78" fontId="10" fillId="0" borderId="1" xfId="0" applyNumberFormat="1" applyFont="1" applyBorder="1" applyAlignment="1">
      <alignment horizontal="right"/>
    </xf>
    <xf numFmtId="0" fontId="16" fillId="6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6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178" fontId="11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177" fontId="4" fillId="0" borderId="2" xfId="0" applyNumberFormat="1" applyFont="1" applyBorder="1" applyAlignment="1" applyProtection="1">
      <alignment horizontal="center" vertical="center" wrapText="1"/>
      <protection hidden="1"/>
    </xf>
    <xf numFmtId="177" fontId="4" fillId="0" borderId="6" xfId="0" applyNumberFormat="1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left" vertical="center" wrapText="1"/>
      <protection hidden="1"/>
    </xf>
    <xf numFmtId="0" fontId="1" fillId="0" borderId="7" xfId="0" applyFont="1" applyBorder="1" applyAlignment="1" applyProtection="1">
      <alignment horizontal="left" vertical="center" wrapText="1"/>
      <protection hidden="1"/>
    </xf>
    <xf numFmtId="0" fontId="1" fillId="0" borderId="6" xfId="0" applyFont="1" applyBorder="1" applyAlignment="1" applyProtection="1">
      <alignment horizontal="left" vertical="center" wrapText="1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7" xfId="0" applyFont="1" applyFill="1" applyBorder="1" applyAlignment="1" applyProtection="1">
      <alignment horizontal="center" vertical="center" wrapText="1"/>
      <protection hidden="1"/>
    </xf>
    <xf numFmtId="0" fontId="6" fillId="3" borderId="6" xfId="0" applyFont="1" applyFill="1" applyBorder="1" applyAlignment="1" applyProtection="1">
      <alignment horizontal="center" vertical="center" wrapText="1"/>
      <protection hidden="1"/>
    </xf>
    <xf numFmtId="0" fontId="5" fillId="2" borderId="3" xfId="0" applyFont="1" applyFill="1" applyBorder="1" applyAlignment="1" applyProtection="1">
      <alignment horizontal="center" vertical="center" wrapText="1"/>
      <protection hidden="1"/>
    </xf>
    <xf numFmtId="0" fontId="5" fillId="2" borderId="4" xfId="0" applyFont="1" applyFill="1" applyBorder="1" applyAlignment="1" applyProtection="1">
      <alignment horizontal="center" vertical="center" wrapText="1"/>
      <protection hidden="1"/>
    </xf>
    <xf numFmtId="0" fontId="5" fillId="2" borderId="5" xfId="0" applyFont="1" applyFill="1" applyBorder="1" applyAlignment="1" applyProtection="1">
      <alignment horizontal="center" vertical="center" wrapText="1"/>
      <protection hidden="1"/>
    </xf>
    <xf numFmtId="0" fontId="6" fillId="4" borderId="1" xfId="0" applyFont="1" applyFill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7" fillId="5" borderId="1" xfId="0" applyFont="1" applyFill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4" fillId="0" borderId="10" xfId="0" applyFont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left" vertical="center" wrapText="1"/>
      <protection hidden="1"/>
    </xf>
    <xf numFmtId="0" fontId="1" fillId="0" borderId="11" xfId="0" applyFont="1" applyBorder="1" applyAlignment="1" applyProtection="1">
      <alignment horizontal="left" vertical="center" wrapText="1"/>
      <protection hidden="1"/>
    </xf>
    <xf numFmtId="0" fontId="1" fillId="0" borderId="10" xfId="0" applyFont="1" applyBorder="1" applyAlignment="1" applyProtection="1">
      <alignment horizontal="left" vertical="center" wrapText="1"/>
      <protection hidden="1"/>
    </xf>
    <xf numFmtId="0" fontId="1" fillId="0" borderId="12" xfId="0" applyFont="1" applyBorder="1" applyAlignment="1" applyProtection="1">
      <alignment horizontal="left" vertical="center" wrapText="1"/>
      <protection hidden="1"/>
    </xf>
    <xf numFmtId="0" fontId="1" fillId="0" borderId="9" xfId="0" applyFont="1" applyBorder="1" applyAlignment="1" applyProtection="1">
      <alignment horizontal="left" vertical="center" wrapText="1"/>
      <protection hidden="1"/>
    </xf>
    <xf numFmtId="0" fontId="1" fillId="0" borderId="13" xfId="0" applyFont="1" applyBorder="1" applyAlignment="1" applyProtection="1">
      <alignment horizontal="left" vertical="center" wrapText="1"/>
      <protection hidden="1"/>
    </xf>
  </cellXfs>
  <cellStyles count="4">
    <cellStyle name="常规" xfId="0" builtinId="0"/>
    <cellStyle name="常规_报价单 (3)_1" xfId="2" xr:uid="{00000000-0005-0000-0000-000001000000}"/>
    <cellStyle name="常规_报价单 (3)_2" xfId="3" xr:uid="{00000000-0005-0000-0000-000002000000}"/>
    <cellStyle name="货币" xfId="1" builtinId="4"/>
  </cellStyles>
  <dxfs count="0"/>
  <tableStyles count="0" defaultTableStyle="TableStyleMedium2" defaultPivotStyle="PivotStyleLight16"/>
  <colors>
    <mruColors>
      <color rgb="FFFFFF00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"/>
  <sheetViews>
    <sheetView tabSelected="1" topLeftCell="A2" zoomScale="70" zoomScaleNormal="70" workbookViewId="0">
      <selection activeCell="L4" sqref="L4:L49"/>
    </sheetView>
  </sheetViews>
  <sheetFormatPr defaultColWidth="8.640625" defaultRowHeight="14.15"/>
  <cols>
    <col min="1" max="1" width="16.42578125" style="19" customWidth="1"/>
    <col min="2" max="2" width="30.85546875" style="19" customWidth="1"/>
    <col min="3" max="3" width="18.140625" style="19" customWidth="1"/>
    <col min="4" max="4" width="88.140625" style="44" customWidth="1"/>
    <col min="5" max="5" width="18.42578125" customWidth="1"/>
    <col min="6" max="6" width="15.35546875" customWidth="1"/>
    <col min="7" max="9" width="14.85546875" customWidth="1"/>
    <col min="10" max="10" width="12.640625" customWidth="1"/>
    <col min="11" max="11" width="25.42578125" customWidth="1"/>
    <col min="12" max="12" width="24.42578125" customWidth="1"/>
  </cols>
  <sheetData>
    <row r="1" spans="1:12" ht="57.75" customHeight="1">
      <c r="A1" s="186" t="s">
        <v>385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8"/>
    </row>
    <row r="2" spans="1:12" ht="37.299999999999997" customHeight="1">
      <c r="A2" s="170" t="s">
        <v>0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2"/>
    </row>
    <row r="3" spans="1:12" ht="29.15">
      <c r="A3" s="45" t="s">
        <v>1</v>
      </c>
      <c r="B3" s="46" t="s">
        <v>2</v>
      </c>
      <c r="C3" s="46" t="s">
        <v>3</v>
      </c>
      <c r="D3" s="46" t="s">
        <v>4</v>
      </c>
      <c r="E3" s="47" t="s">
        <v>5</v>
      </c>
      <c r="F3" s="47" t="s">
        <v>6</v>
      </c>
      <c r="G3" s="47" t="s">
        <v>7</v>
      </c>
      <c r="H3" s="47" t="s">
        <v>8</v>
      </c>
      <c r="I3" s="47" t="s">
        <v>9</v>
      </c>
      <c r="J3" s="47" t="s">
        <v>10</v>
      </c>
      <c r="K3" s="47" t="s">
        <v>11</v>
      </c>
      <c r="L3" s="47" t="s">
        <v>12</v>
      </c>
    </row>
    <row r="4" spans="1:12" ht="15.65" customHeight="1">
      <c r="A4" s="189" t="s">
        <v>13</v>
      </c>
      <c r="B4" s="127" t="s">
        <v>14</v>
      </c>
      <c r="C4" s="204" t="s">
        <v>15</v>
      </c>
      <c r="D4" s="130" t="s">
        <v>16</v>
      </c>
      <c r="E4" s="50">
        <v>0.09</v>
      </c>
      <c r="F4" s="51">
        <f>E4*32*24*30*0.9</f>
        <v>1866.2400000000005</v>
      </c>
      <c r="G4" s="52" t="s">
        <v>17</v>
      </c>
      <c r="H4" s="53" t="s">
        <v>18</v>
      </c>
      <c r="I4" s="54" t="s">
        <v>19</v>
      </c>
      <c r="J4" s="55" t="e">
        <f>E4*G4+F4*I4*H4</f>
        <v>#VALUE!</v>
      </c>
      <c r="K4" s="51" t="s">
        <v>20</v>
      </c>
      <c r="L4" s="201" t="s">
        <v>396</v>
      </c>
    </row>
    <row r="5" spans="1:12" ht="15.65" customHeight="1">
      <c r="A5" s="190"/>
      <c r="B5" s="127" t="s">
        <v>21</v>
      </c>
      <c r="C5" s="205"/>
      <c r="D5" s="130" t="s">
        <v>22</v>
      </c>
      <c r="E5" s="50">
        <v>0.11</v>
      </c>
      <c r="F5" s="51">
        <f>E5*32*24*30</f>
        <v>2534.4</v>
      </c>
      <c r="G5" s="52" t="s">
        <v>17</v>
      </c>
      <c r="H5" s="53" t="s">
        <v>18</v>
      </c>
      <c r="I5" s="54" t="s">
        <v>19</v>
      </c>
      <c r="J5" s="55" t="e">
        <f>E5*G5+F5*I5*H5</f>
        <v>#VALUE!</v>
      </c>
      <c r="K5" s="51" t="s">
        <v>20</v>
      </c>
      <c r="L5" s="202"/>
    </row>
    <row r="6" spans="1:12">
      <c r="A6" s="190"/>
      <c r="B6" s="48" t="s">
        <v>23</v>
      </c>
      <c r="C6" s="56" t="s">
        <v>24</v>
      </c>
      <c r="D6" s="49" t="s">
        <v>25</v>
      </c>
      <c r="E6" s="50">
        <v>0.08</v>
      </c>
      <c r="F6" s="51">
        <f>E6*64*24*30*0.9</f>
        <v>3317.7599999999998</v>
      </c>
      <c r="G6" s="52" t="s">
        <v>17</v>
      </c>
      <c r="H6" s="53" t="s">
        <v>18</v>
      </c>
      <c r="I6" s="54" t="s">
        <v>19</v>
      </c>
      <c r="J6" s="55" t="e">
        <f t="shared" ref="J6:J27" si="0">E6*G6+F6*I6*H6</f>
        <v>#VALUE!</v>
      </c>
      <c r="K6" s="51" t="s">
        <v>20</v>
      </c>
      <c r="L6" s="202"/>
    </row>
    <row r="7" spans="1:12" ht="15.65" customHeight="1">
      <c r="A7" s="190"/>
      <c r="B7" s="57" t="s">
        <v>26</v>
      </c>
      <c r="C7" s="58" t="s">
        <v>27</v>
      </c>
      <c r="D7" s="59" t="s">
        <v>28</v>
      </c>
      <c r="E7" s="60">
        <v>0.09</v>
      </c>
      <c r="F7" s="51">
        <f>E7*64*24*30</f>
        <v>4147.2000000000007</v>
      </c>
      <c r="G7" s="52" t="s">
        <v>17</v>
      </c>
      <c r="H7" s="53" t="s">
        <v>18</v>
      </c>
      <c r="I7" s="54" t="s">
        <v>19</v>
      </c>
      <c r="J7" s="55" t="e">
        <f t="shared" si="0"/>
        <v>#VALUE!</v>
      </c>
      <c r="K7" s="51" t="s">
        <v>20</v>
      </c>
      <c r="L7" s="202"/>
    </row>
    <row r="8" spans="1:12">
      <c r="A8" s="190"/>
      <c r="B8" s="61" t="s">
        <v>29</v>
      </c>
      <c r="C8" s="62" t="s">
        <v>389</v>
      </c>
      <c r="D8" s="49" t="s">
        <v>30</v>
      </c>
      <c r="E8" s="50">
        <v>0.1</v>
      </c>
      <c r="F8" s="51">
        <f>E8*64*24*30</f>
        <v>4608.0000000000009</v>
      </c>
      <c r="G8" s="52" t="s">
        <v>17</v>
      </c>
      <c r="H8" s="53" t="s">
        <v>18</v>
      </c>
      <c r="I8" s="54" t="s">
        <v>19</v>
      </c>
      <c r="J8" s="55" t="e">
        <f t="shared" si="0"/>
        <v>#VALUE!</v>
      </c>
      <c r="K8" s="51" t="s">
        <v>20</v>
      </c>
      <c r="L8" s="202"/>
    </row>
    <row r="9" spans="1:12" ht="29.15">
      <c r="A9" s="190"/>
      <c r="B9" s="129" t="s">
        <v>29</v>
      </c>
      <c r="C9" s="128" t="s">
        <v>395</v>
      </c>
      <c r="D9" s="130" t="s">
        <v>30</v>
      </c>
      <c r="E9" s="50">
        <v>0.1</v>
      </c>
      <c r="F9" s="51">
        <f>E9*64*24*30</f>
        <v>4608.0000000000009</v>
      </c>
      <c r="G9" s="52" t="s">
        <v>17</v>
      </c>
      <c r="H9" s="53" t="s">
        <v>18</v>
      </c>
      <c r="I9" s="54" t="s">
        <v>19</v>
      </c>
      <c r="J9" s="55" t="e">
        <f t="shared" ref="J9:J10" si="1">E9*G9+F9*I9*H9</f>
        <v>#VALUE!</v>
      </c>
      <c r="K9" s="51" t="s">
        <v>20</v>
      </c>
      <c r="L9" s="202"/>
    </row>
    <row r="10" spans="1:12">
      <c r="A10" s="190"/>
      <c r="B10" s="61" t="s">
        <v>29</v>
      </c>
      <c r="C10" s="62" t="s">
        <v>31</v>
      </c>
      <c r="D10" s="49" t="s">
        <v>30</v>
      </c>
      <c r="E10" s="50">
        <v>0.1</v>
      </c>
      <c r="F10" s="51">
        <f>E10*64*24*30*0.9</f>
        <v>4147.2000000000007</v>
      </c>
      <c r="G10" s="52" t="s">
        <v>17</v>
      </c>
      <c r="H10" s="53" t="s">
        <v>18</v>
      </c>
      <c r="I10" s="54" t="s">
        <v>19</v>
      </c>
      <c r="J10" s="55" t="e">
        <f t="shared" si="1"/>
        <v>#VALUE!</v>
      </c>
      <c r="K10" s="51" t="s">
        <v>20</v>
      </c>
      <c r="L10" s="202"/>
    </row>
    <row r="11" spans="1:12" ht="14.6">
      <c r="A11" s="191"/>
      <c r="B11" s="129" t="s">
        <v>32</v>
      </c>
      <c r="C11" s="128" t="s">
        <v>387</v>
      </c>
      <c r="D11" s="130" t="s">
        <v>390</v>
      </c>
      <c r="E11" s="50">
        <v>0.11</v>
      </c>
      <c r="F11" s="51">
        <f>E11*32*24*30</f>
        <v>2534.4</v>
      </c>
      <c r="G11" s="52" t="s">
        <v>17</v>
      </c>
      <c r="H11" s="53" t="s">
        <v>18</v>
      </c>
      <c r="I11" s="54" t="s">
        <v>19</v>
      </c>
      <c r="J11" s="55" t="e">
        <f t="shared" si="0"/>
        <v>#VALUE!</v>
      </c>
      <c r="K11" s="51" t="s">
        <v>20</v>
      </c>
      <c r="L11" s="202"/>
    </row>
    <row r="12" spans="1:12" ht="15.65" customHeight="1">
      <c r="A12" s="192" t="s">
        <v>33</v>
      </c>
      <c r="B12" s="63" t="s">
        <v>34</v>
      </c>
      <c r="C12" s="64" t="s">
        <v>35</v>
      </c>
      <c r="D12" s="65" t="s">
        <v>36</v>
      </c>
      <c r="E12" s="66">
        <v>0.13</v>
      </c>
      <c r="F12" s="67">
        <f>E12*64*24*30</f>
        <v>5990.4000000000005</v>
      </c>
      <c r="G12" s="68" t="s">
        <v>17</v>
      </c>
      <c r="H12" s="69" t="s">
        <v>18</v>
      </c>
      <c r="I12" s="70" t="s">
        <v>19</v>
      </c>
      <c r="J12" s="71" t="e">
        <f t="shared" si="0"/>
        <v>#VALUE!</v>
      </c>
      <c r="K12" s="67" t="s">
        <v>20</v>
      </c>
      <c r="L12" s="202"/>
    </row>
    <row r="13" spans="1:12" ht="15.65" customHeight="1">
      <c r="A13" s="193"/>
      <c r="B13" s="72" t="s">
        <v>37</v>
      </c>
      <c r="C13" s="206" t="s">
        <v>27</v>
      </c>
      <c r="D13" s="73" t="s">
        <v>38</v>
      </c>
      <c r="E13" s="74">
        <v>0.11</v>
      </c>
      <c r="F13" s="67">
        <f>E13*64*24*30</f>
        <v>5068.8</v>
      </c>
      <c r="G13" s="68" t="s">
        <v>17</v>
      </c>
      <c r="H13" s="69" t="s">
        <v>18</v>
      </c>
      <c r="I13" s="70" t="s">
        <v>19</v>
      </c>
      <c r="J13" s="71" t="e">
        <f t="shared" si="0"/>
        <v>#VALUE!</v>
      </c>
      <c r="K13" s="67" t="s">
        <v>39</v>
      </c>
      <c r="L13" s="202"/>
    </row>
    <row r="14" spans="1:12" ht="15.65" customHeight="1">
      <c r="A14" s="193"/>
      <c r="B14" s="72" t="s">
        <v>40</v>
      </c>
      <c r="C14" s="207"/>
      <c r="D14" s="73" t="s">
        <v>41</v>
      </c>
      <c r="E14" s="74">
        <v>0.15</v>
      </c>
      <c r="F14" s="67" t="s">
        <v>42</v>
      </c>
      <c r="G14" s="68" t="s">
        <v>17</v>
      </c>
      <c r="H14" s="69" t="s">
        <v>18</v>
      </c>
      <c r="I14" s="70" t="s">
        <v>19</v>
      </c>
      <c r="J14" s="71" t="e">
        <f>E14*G14</f>
        <v>#VALUE!</v>
      </c>
      <c r="K14" s="67" t="s">
        <v>43</v>
      </c>
      <c r="L14" s="202"/>
    </row>
    <row r="15" spans="1:12" ht="15.65" customHeight="1">
      <c r="A15" s="193"/>
      <c r="B15" s="75" t="s">
        <v>44</v>
      </c>
      <c r="C15" s="206" t="s">
        <v>24</v>
      </c>
      <c r="D15" s="76" t="s">
        <v>45</v>
      </c>
      <c r="E15" s="77">
        <v>0.18</v>
      </c>
      <c r="F15" s="67">
        <f>E15*128*24*30*0.9</f>
        <v>14929.920000000004</v>
      </c>
      <c r="G15" s="68" t="s">
        <v>17</v>
      </c>
      <c r="H15" s="69" t="s">
        <v>18</v>
      </c>
      <c r="I15" s="70" t="s">
        <v>19</v>
      </c>
      <c r="J15" s="71" t="e">
        <f t="shared" si="0"/>
        <v>#VALUE!</v>
      </c>
      <c r="K15" s="67" t="s">
        <v>39</v>
      </c>
      <c r="L15" s="202"/>
    </row>
    <row r="16" spans="1:12" ht="15.65" customHeight="1">
      <c r="A16" s="194"/>
      <c r="B16" s="72" t="s">
        <v>46</v>
      </c>
      <c r="C16" s="207"/>
      <c r="D16" s="73" t="s">
        <v>47</v>
      </c>
      <c r="E16" s="74">
        <v>0.16</v>
      </c>
      <c r="F16" s="67" t="s">
        <v>42</v>
      </c>
      <c r="G16" s="68" t="s">
        <v>17</v>
      </c>
      <c r="H16" s="69" t="s">
        <v>18</v>
      </c>
      <c r="I16" s="70" t="s">
        <v>19</v>
      </c>
      <c r="J16" s="71" t="e">
        <f>E16*G16</f>
        <v>#VALUE!</v>
      </c>
      <c r="K16" s="67" t="s">
        <v>43</v>
      </c>
      <c r="L16" s="202"/>
    </row>
    <row r="17" spans="1:12" ht="15.65" customHeight="1">
      <c r="A17" s="189" t="s">
        <v>48</v>
      </c>
      <c r="B17" s="57" t="s">
        <v>49</v>
      </c>
      <c r="C17" s="78" t="s">
        <v>50</v>
      </c>
      <c r="D17" s="59" t="s">
        <v>51</v>
      </c>
      <c r="E17" s="60">
        <v>0.08</v>
      </c>
      <c r="F17" s="51">
        <f>E17*24*24*30</f>
        <v>1382.3999999999999</v>
      </c>
      <c r="G17" s="52" t="s">
        <v>17</v>
      </c>
      <c r="H17" s="53" t="s">
        <v>18</v>
      </c>
      <c r="I17" s="54" t="s">
        <v>19</v>
      </c>
      <c r="J17" s="55" t="e">
        <f t="shared" si="0"/>
        <v>#VALUE!</v>
      </c>
      <c r="K17" s="51" t="s">
        <v>39</v>
      </c>
      <c r="L17" s="202"/>
    </row>
    <row r="18" spans="1:12" ht="15.65" customHeight="1">
      <c r="A18" s="190"/>
      <c r="B18" s="48" t="s">
        <v>52</v>
      </c>
      <c r="C18" s="79" t="s">
        <v>53</v>
      </c>
      <c r="D18" s="49" t="s">
        <v>54</v>
      </c>
      <c r="E18" s="50">
        <v>0.09</v>
      </c>
      <c r="F18" s="51">
        <f>E18*28*24*30</f>
        <v>1814.4</v>
      </c>
      <c r="G18" s="52" t="s">
        <v>17</v>
      </c>
      <c r="H18" s="53" t="s">
        <v>18</v>
      </c>
      <c r="I18" s="54" t="s">
        <v>19</v>
      </c>
      <c r="J18" s="55" t="e">
        <f t="shared" si="0"/>
        <v>#VALUE!</v>
      </c>
      <c r="K18" s="51" t="s">
        <v>39</v>
      </c>
      <c r="L18" s="202"/>
    </row>
    <row r="19" spans="1:12" ht="15.65" customHeight="1">
      <c r="A19" s="190"/>
      <c r="B19" s="48" t="s">
        <v>55</v>
      </c>
      <c r="C19" s="80" t="s">
        <v>56</v>
      </c>
      <c r="D19" s="49" t="s">
        <v>57</v>
      </c>
      <c r="E19" s="50" t="s">
        <v>42</v>
      </c>
      <c r="F19" s="51">
        <v>16352</v>
      </c>
      <c r="G19" s="52" t="s">
        <v>17</v>
      </c>
      <c r="H19" s="53" t="s">
        <v>18</v>
      </c>
      <c r="I19" s="54" t="s">
        <v>19</v>
      </c>
      <c r="J19" s="55" t="e">
        <f>F19*I19*H19</f>
        <v>#VALUE!</v>
      </c>
      <c r="K19" s="51" t="s">
        <v>58</v>
      </c>
      <c r="L19" s="202"/>
    </row>
    <row r="20" spans="1:12">
      <c r="A20" s="191"/>
      <c r="B20" s="48" t="s">
        <v>59</v>
      </c>
      <c r="C20" s="80" t="s">
        <v>60</v>
      </c>
      <c r="D20" s="49" t="s">
        <v>61</v>
      </c>
      <c r="E20" s="50">
        <v>0.23</v>
      </c>
      <c r="F20" s="51">
        <f>E20*64*24*30</f>
        <v>10598.400000000001</v>
      </c>
      <c r="G20" s="52" t="s">
        <v>17</v>
      </c>
      <c r="H20" s="53" t="s">
        <v>18</v>
      </c>
      <c r="I20" s="54" t="s">
        <v>19</v>
      </c>
      <c r="J20" s="55" t="e">
        <f t="shared" si="0"/>
        <v>#VALUE!</v>
      </c>
      <c r="K20" s="51" t="s">
        <v>39</v>
      </c>
      <c r="L20" s="202"/>
    </row>
    <row r="21" spans="1:12" ht="15.65" customHeight="1">
      <c r="A21" s="189" t="s">
        <v>62</v>
      </c>
      <c r="B21" s="48" t="s">
        <v>29</v>
      </c>
      <c r="C21" s="80" t="s">
        <v>24</v>
      </c>
      <c r="D21" s="49" t="s">
        <v>63</v>
      </c>
      <c r="E21" s="50">
        <v>0.13</v>
      </c>
      <c r="F21" s="51">
        <f>E21*64*24*30</f>
        <v>5990.4000000000005</v>
      </c>
      <c r="G21" s="52" t="s">
        <v>17</v>
      </c>
      <c r="H21" s="53" t="s">
        <v>18</v>
      </c>
      <c r="I21" s="54" t="s">
        <v>19</v>
      </c>
      <c r="J21" s="55" t="e">
        <f t="shared" si="0"/>
        <v>#VALUE!</v>
      </c>
      <c r="K21" s="51" t="s">
        <v>20</v>
      </c>
      <c r="L21" s="202"/>
    </row>
    <row r="22" spans="1:12" ht="34.299999999999997" customHeight="1">
      <c r="A22" s="190"/>
      <c r="B22" s="127" t="s">
        <v>391</v>
      </c>
      <c r="C22" s="131" t="s">
        <v>393</v>
      </c>
      <c r="D22" s="130" t="s">
        <v>392</v>
      </c>
      <c r="E22" s="50">
        <v>0.16</v>
      </c>
      <c r="F22" s="51">
        <f>E22*64*24*30</f>
        <v>7372.7999999999993</v>
      </c>
      <c r="G22" s="52" t="s">
        <v>17</v>
      </c>
      <c r="H22" s="53" t="s">
        <v>18</v>
      </c>
      <c r="I22" s="54" t="s">
        <v>19</v>
      </c>
      <c r="J22" s="55" t="e">
        <f t="shared" si="0"/>
        <v>#VALUE!</v>
      </c>
      <c r="K22" s="51" t="s">
        <v>20</v>
      </c>
      <c r="L22" s="202"/>
    </row>
    <row r="23" spans="1:12" ht="15.65" customHeight="1">
      <c r="A23" s="190"/>
      <c r="B23" s="57" t="s">
        <v>64</v>
      </c>
      <c r="C23" s="78" t="s">
        <v>65</v>
      </c>
      <c r="D23" s="59" t="s">
        <v>66</v>
      </c>
      <c r="E23" s="60">
        <v>0.18</v>
      </c>
      <c r="F23" s="51">
        <f>E23*64*24*30</f>
        <v>8294.4000000000015</v>
      </c>
      <c r="G23" s="52" t="s">
        <v>17</v>
      </c>
      <c r="H23" s="53" t="s">
        <v>18</v>
      </c>
      <c r="I23" s="54" t="s">
        <v>19</v>
      </c>
      <c r="J23" s="55" t="e">
        <f t="shared" si="0"/>
        <v>#VALUE!</v>
      </c>
      <c r="K23" s="51" t="s">
        <v>39</v>
      </c>
      <c r="L23" s="202"/>
    </row>
    <row r="24" spans="1:12" ht="15.65" customHeight="1">
      <c r="A24" s="190"/>
      <c r="B24" s="57" t="s">
        <v>67</v>
      </c>
      <c r="C24" s="81" t="s">
        <v>68</v>
      </c>
      <c r="D24" s="59" t="s">
        <v>69</v>
      </c>
      <c r="E24" s="60">
        <v>0.11</v>
      </c>
      <c r="F24" s="51">
        <f t="shared" ref="F24:F26" si="2">E24*128*24*30</f>
        <v>10137.6</v>
      </c>
      <c r="G24" s="52" t="s">
        <v>17</v>
      </c>
      <c r="H24" s="53" t="s">
        <v>18</v>
      </c>
      <c r="I24" s="54" t="s">
        <v>19</v>
      </c>
      <c r="J24" s="55" t="e">
        <f t="shared" si="0"/>
        <v>#VALUE!</v>
      </c>
      <c r="K24" s="51" t="s">
        <v>39</v>
      </c>
      <c r="L24" s="202"/>
    </row>
    <row r="25" spans="1:12" ht="15.65" customHeight="1">
      <c r="A25" s="190"/>
      <c r="B25" s="57" t="s">
        <v>70</v>
      </c>
      <c r="C25" s="81" t="s">
        <v>68</v>
      </c>
      <c r="D25" s="59" t="s">
        <v>71</v>
      </c>
      <c r="E25" s="60">
        <v>0.12</v>
      </c>
      <c r="F25" s="51">
        <f t="shared" si="2"/>
        <v>11059.199999999999</v>
      </c>
      <c r="G25" s="52" t="s">
        <v>17</v>
      </c>
      <c r="H25" s="53" t="s">
        <v>18</v>
      </c>
      <c r="I25" s="54" t="s">
        <v>19</v>
      </c>
      <c r="J25" s="55" t="e">
        <f t="shared" si="0"/>
        <v>#VALUE!</v>
      </c>
      <c r="K25" s="51" t="s">
        <v>39</v>
      </c>
      <c r="L25" s="202"/>
    </row>
    <row r="26" spans="1:12" ht="27.45">
      <c r="A26" s="191"/>
      <c r="B26" s="57" t="s">
        <v>72</v>
      </c>
      <c r="C26" s="56" t="s">
        <v>382</v>
      </c>
      <c r="D26" s="59" t="s">
        <v>73</v>
      </c>
      <c r="E26" s="60">
        <v>0.12</v>
      </c>
      <c r="F26" s="51">
        <f t="shared" si="2"/>
        <v>11059.199999999999</v>
      </c>
      <c r="G26" s="52" t="s">
        <v>17</v>
      </c>
      <c r="H26" s="53" t="s">
        <v>18</v>
      </c>
      <c r="I26" s="54" t="s">
        <v>19</v>
      </c>
      <c r="J26" s="55" t="e">
        <f t="shared" si="0"/>
        <v>#VALUE!</v>
      </c>
      <c r="K26" s="51" t="s">
        <v>20</v>
      </c>
      <c r="L26" s="202"/>
    </row>
    <row r="27" spans="1:12" ht="17.149999999999999" customHeight="1">
      <c r="A27" s="195" t="s">
        <v>74</v>
      </c>
      <c r="B27" s="124" t="s">
        <v>75</v>
      </c>
      <c r="C27" s="125" t="s">
        <v>397</v>
      </c>
      <c r="D27" s="73" t="s">
        <v>76</v>
      </c>
      <c r="E27" s="74">
        <v>0.13</v>
      </c>
      <c r="F27" s="67" t="s">
        <v>42</v>
      </c>
      <c r="G27" s="68" t="s">
        <v>17</v>
      </c>
      <c r="H27" s="69" t="s">
        <v>18</v>
      </c>
      <c r="I27" s="70" t="s">
        <v>19</v>
      </c>
      <c r="J27" s="71" t="e">
        <f t="shared" si="0"/>
        <v>#VALUE!</v>
      </c>
      <c r="K27" s="67" t="s">
        <v>398</v>
      </c>
      <c r="L27" s="202"/>
    </row>
    <row r="28" spans="1:12" ht="15.65" customHeight="1">
      <c r="A28" s="196"/>
      <c r="B28" s="72" t="s">
        <v>77</v>
      </c>
      <c r="C28" s="203" t="s">
        <v>381</v>
      </c>
      <c r="D28" s="73" t="s">
        <v>78</v>
      </c>
      <c r="E28" s="74">
        <v>0.2</v>
      </c>
      <c r="F28" s="67" t="s">
        <v>42</v>
      </c>
      <c r="G28" s="68" t="s">
        <v>17</v>
      </c>
      <c r="H28" s="69" t="s">
        <v>18</v>
      </c>
      <c r="I28" s="70" t="s">
        <v>19</v>
      </c>
      <c r="J28" s="71" t="e">
        <f t="shared" ref="J28" si="3">E28*G28+F28*I28*H28</f>
        <v>#VALUE!</v>
      </c>
      <c r="K28" s="67" t="s">
        <v>43</v>
      </c>
      <c r="L28" s="202"/>
    </row>
    <row r="29" spans="1:12" ht="15.65" customHeight="1">
      <c r="A29" s="197"/>
      <c r="B29" s="72" t="s">
        <v>79</v>
      </c>
      <c r="C29" s="203"/>
      <c r="D29" s="73" t="s">
        <v>80</v>
      </c>
      <c r="E29" s="74">
        <v>0.26</v>
      </c>
      <c r="F29" s="67" t="s">
        <v>42</v>
      </c>
      <c r="G29" s="68" t="s">
        <v>81</v>
      </c>
      <c r="H29" s="69" t="s">
        <v>18</v>
      </c>
      <c r="I29" s="70" t="s">
        <v>19</v>
      </c>
      <c r="J29" s="71" t="e">
        <f>E29*G29</f>
        <v>#VALUE!</v>
      </c>
      <c r="K29" s="67" t="s">
        <v>43</v>
      </c>
      <c r="L29" s="202"/>
    </row>
    <row r="30" spans="1:12" ht="15.65" customHeight="1">
      <c r="A30" s="189" t="s">
        <v>82</v>
      </c>
      <c r="B30" s="127" t="s">
        <v>83</v>
      </c>
      <c r="C30" s="129" t="s">
        <v>15</v>
      </c>
      <c r="D30" s="130" t="s">
        <v>84</v>
      </c>
      <c r="E30" s="60">
        <v>2</v>
      </c>
      <c r="F30" s="51">
        <f>E30*4*24*30</f>
        <v>5760</v>
      </c>
      <c r="G30" s="52" t="s">
        <v>81</v>
      </c>
      <c r="H30" s="53" t="s">
        <v>18</v>
      </c>
      <c r="I30" s="54" t="s">
        <v>19</v>
      </c>
      <c r="J30" s="55" t="e">
        <f t="shared" ref="J30:J49" si="4">E30*G30+F30*I30*H30</f>
        <v>#VALUE!</v>
      </c>
      <c r="K30" s="51" t="s">
        <v>20</v>
      </c>
      <c r="L30" s="202"/>
    </row>
    <row r="31" spans="1:12" ht="15.65" customHeight="1">
      <c r="A31" s="190"/>
      <c r="B31" s="57" t="s">
        <v>85</v>
      </c>
      <c r="C31" s="78" t="s">
        <v>27</v>
      </c>
      <c r="D31" s="59" t="s">
        <v>86</v>
      </c>
      <c r="E31" s="60">
        <v>2</v>
      </c>
      <c r="F31" s="51">
        <f t="shared" ref="F31:F34" si="5">E31*4*24*30</f>
        <v>5760</v>
      </c>
      <c r="G31" s="52" t="s">
        <v>81</v>
      </c>
      <c r="H31" s="53" t="s">
        <v>18</v>
      </c>
      <c r="I31" s="54" t="s">
        <v>19</v>
      </c>
      <c r="J31" s="55" t="e">
        <f t="shared" si="4"/>
        <v>#VALUE!</v>
      </c>
      <c r="K31" s="51" t="s">
        <v>20</v>
      </c>
      <c r="L31" s="202"/>
    </row>
    <row r="32" spans="1:12" ht="28.3">
      <c r="A32" s="190"/>
      <c r="B32" s="127" t="s">
        <v>87</v>
      </c>
      <c r="C32" s="126" t="s">
        <v>394</v>
      </c>
      <c r="D32" s="128" t="s">
        <v>89</v>
      </c>
      <c r="E32" s="60">
        <v>2</v>
      </c>
      <c r="F32" s="51">
        <f t="shared" si="5"/>
        <v>5760</v>
      </c>
      <c r="G32" s="52" t="s">
        <v>81</v>
      </c>
      <c r="H32" s="53" t="s">
        <v>18</v>
      </c>
      <c r="I32" s="54" t="s">
        <v>19</v>
      </c>
      <c r="J32" s="55" t="e">
        <f t="shared" si="4"/>
        <v>#VALUE!</v>
      </c>
      <c r="K32" s="51" t="s">
        <v>20</v>
      </c>
      <c r="L32" s="202"/>
    </row>
    <row r="33" spans="1:12" ht="15.65" customHeight="1">
      <c r="A33" s="190"/>
      <c r="B33" s="48" t="s">
        <v>90</v>
      </c>
      <c r="C33" s="208" t="s">
        <v>15</v>
      </c>
      <c r="D33" s="62" t="s">
        <v>91</v>
      </c>
      <c r="E33" s="50">
        <v>2</v>
      </c>
      <c r="F33" s="51">
        <f t="shared" si="5"/>
        <v>5760</v>
      </c>
      <c r="G33" s="52" t="s">
        <v>81</v>
      </c>
      <c r="H33" s="53" t="s">
        <v>18</v>
      </c>
      <c r="I33" s="54" t="s">
        <v>19</v>
      </c>
      <c r="J33" s="55" t="e">
        <f t="shared" si="4"/>
        <v>#VALUE!</v>
      </c>
      <c r="K33" s="51" t="s">
        <v>20</v>
      </c>
      <c r="L33" s="202"/>
    </row>
    <row r="34" spans="1:12" ht="15.65" customHeight="1">
      <c r="A34" s="190"/>
      <c r="B34" s="48" t="s">
        <v>92</v>
      </c>
      <c r="C34" s="209"/>
      <c r="D34" s="62" t="s">
        <v>93</v>
      </c>
      <c r="E34" s="50">
        <v>2</v>
      </c>
      <c r="F34" s="51">
        <f t="shared" si="5"/>
        <v>5760</v>
      </c>
      <c r="G34" s="52" t="s">
        <v>81</v>
      </c>
      <c r="H34" s="53" t="s">
        <v>18</v>
      </c>
      <c r="I34" s="54" t="s">
        <v>19</v>
      </c>
      <c r="J34" s="55" t="e">
        <f t="shared" si="4"/>
        <v>#VALUE!</v>
      </c>
      <c r="K34" s="51" t="s">
        <v>20</v>
      </c>
      <c r="L34" s="202"/>
    </row>
    <row r="35" spans="1:12" ht="15.65" customHeight="1">
      <c r="A35" s="190"/>
      <c r="B35" s="48" t="s">
        <v>94</v>
      </c>
      <c r="C35" s="209"/>
      <c r="D35" s="62" t="s">
        <v>95</v>
      </c>
      <c r="E35" s="50">
        <v>3.6</v>
      </c>
      <c r="F35" s="51">
        <f>E35*8*24*30</f>
        <v>20736</v>
      </c>
      <c r="G35" s="52" t="s">
        <v>81</v>
      </c>
      <c r="H35" s="53" t="s">
        <v>18</v>
      </c>
      <c r="I35" s="54" t="s">
        <v>19</v>
      </c>
      <c r="J35" s="55" t="e">
        <f t="shared" si="4"/>
        <v>#VALUE!</v>
      </c>
      <c r="K35" s="51" t="s">
        <v>96</v>
      </c>
      <c r="L35" s="202"/>
    </row>
    <row r="36" spans="1:12" ht="15.65" customHeight="1">
      <c r="A36" s="190"/>
      <c r="B36" s="142" t="s">
        <v>97</v>
      </c>
      <c r="C36" s="209"/>
      <c r="D36" s="62" t="s">
        <v>98</v>
      </c>
      <c r="E36" s="50">
        <v>3.6</v>
      </c>
      <c r="F36" s="51">
        <f>E36*4*24*30</f>
        <v>10368</v>
      </c>
      <c r="G36" s="52" t="s">
        <v>81</v>
      </c>
      <c r="H36" s="53" t="s">
        <v>18</v>
      </c>
      <c r="I36" s="54" t="s">
        <v>19</v>
      </c>
      <c r="J36" s="55" t="e">
        <f t="shared" si="4"/>
        <v>#VALUE!</v>
      </c>
      <c r="K36" s="51" t="s">
        <v>96</v>
      </c>
      <c r="L36" s="202"/>
    </row>
    <row r="37" spans="1:12" ht="15.65" customHeight="1">
      <c r="A37" s="190"/>
      <c r="B37" s="143"/>
      <c r="C37" s="159" t="s">
        <v>65</v>
      </c>
      <c r="D37" s="62" t="s">
        <v>99</v>
      </c>
      <c r="E37" s="50" t="s">
        <v>42</v>
      </c>
      <c r="F37" s="51">
        <f>3.6*8*24*30</f>
        <v>20736</v>
      </c>
      <c r="G37" s="52" t="s">
        <v>81</v>
      </c>
      <c r="H37" s="53" t="s">
        <v>18</v>
      </c>
      <c r="I37" s="54" t="s">
        <v>19</v>
      </c>
      <c r="J37" s="55" t="e">
        <f>F37*I37*H37</f>
        <v>#VALUE!</v>
      </c>
      <c r="K37" s="51" t="s">
        <v>100</v>
      </c>
      <c r="L37" s="202"/>
    </row>
    <row r="38" spans="1:12" ht="15.65" customHeight="1">
      <c r="A38" s="191"/>
      <c r="B38" s="144"/>
      <c r="C38" s="159"/>
      <c r="D38" s="62" t="s">
        <v>101</v>
      </c>
      <c r="E38" s="50">
        <v>3.6</v>
      </c>
      <c r="F38" s="51">
        <f>3.6*8*24*30</f>
        <v>20736</v>
      </c>
      <c r="G38" s="52" t="s">
        <v>81</v>
      </c>
      <c r="H38" s="53" t="s">
        <v>18</v>
      </c>
      <c r="I38" s="54" t="s">
        <v>19</v>
      </c>
      <c r="J38" s="55" t="e">
        <f>F38*I38*H38</f>
        <v>#VALUE!</v>
      </c>
      <c r="K38" s="51" t="s">
        <v>100</v>
      </c>
      <c r="L38" s="202"/>
    </row>
    <row r="39" spans="1:12" ht="14.6">
      <c r="A39" s="83" t="s">
        <v>102</v>
      </c>
      <c r="B39" s="84" t="s">
        <v>103</v>
      </c>
      <c r="C39" s="85" t="s">
        <v>15</v>
      </c>
      <c r="D39" s="86" t="s">
        <v>104</v>
      </c>
      <c r="E39" s="87">
        <v>3</v>
      </c>
      <c r="F39" s="88" t="s">
        <v>42</v>
      </c>
      <c r="G39" s="89" t="s">
        <v>81</v>
      </c>
      <c r="H39" s="88" t="s">
        <v>42</v>
      </c>
      <c r="I39" s="88" t="s">
        <v>42</v>
      </c>
      <c r="J39" s="90" t="e">
        <f>E39*G39</f>
        <v>#VALUE!</v>
      </c>
      <c r="K39" s="88" t="s">
        <v>43</v>
      </c>
      <c r="L39" s="202"/>
    </row>
    <row r="40" spans="1:12" ht="14.6">
      <c r="A40" s="83" t="s">
        <v>105</v>
      </c>
      <c r="B40" s="84" t="s">
        <v>106</v>
      </c>
      <c r="C40" s="147" t="s">
        <v>24</v>
      </c>
      <c r="D40" s="86" t="s">
        <v>107</v>
      </c>
      <c r="E40" s="91">
        <v>3</v>
      </c>
      <c r="F40" s="88">
        <f>E40*4*24*30</f>
        <v>8640</v>
      </c>
      <c r="G40" s="89" t="s">
        <v>81</v>
      </c>
      <c r="H40" s="92" t="s">
        <v>18</v>
      </c>
      <c r="I40" s="93" t="s">
        <v>19</v>
      </c>
      <c r="J40" s="90" t="e">
        <f t="shared" si="4"/>
        <v>#VALUE!</v>
      </c>
      <c r="K40" s="88" t="s">
        <v>39</v>
      </c>
      <c r="L40" s="202"/>
    </row>
    <row r="41" spans="1:12" ht="14.6">
      <c r="A41" s="83" t="s">
        <v>108</v>
      </c>
      <c r="B41" s="94" t="s">
        <v>109</v>
      </c>
      <c r="C41" s="148"/>
      <c r="D41" s="95" t="s">
        <v>110</v>
      </c>
      <c r="E41" s="96">
        <v>4</v>
      </c>
      <c r="F41" s="88">
        <f>E41*2*24*30</f>
        <v>5760</v>
      </c>
      <c r="G41" s="89" t="s">
        <v>81</v>
      </c>
      <c r="H41" s="92" t="s">
        <v>18</v>
      </c>
      <c r="I41" s="93" t="s">
        <v>19</v>
      </c>
      <c r="J41" s="90" t="e">
        <f t="shared" si="4"/>
        <v>#VALUE!</v>
      </c>
      <c r="K41" s="88" t="s">
        <v>39</v>
      </c>
      <c r="L41" s="202"/>
    </row>
    <row r="42" spans="1:12" ht="14.6">
      <c r="A42" s="83" t="s">
        <v>111</v>
      </c>
      <c r="B42" s="94" t="s">
        <v>112</v>
      </c>
      <c r="C42" s="149"/>
      <c r="D42" s="95" t="s">
        <v>113</v>
      </c>
      <c r="E42" s="96">
        <v>5</v>
      </c>
      <c r="F42" s="88" t="s">
        <v>42</v>
      </c>
      <c r="G42" s="89" t="s">
        <v>81</v>
      </c>
      <c r="H42" s="88" t="s">
        <v>42</v>
      </c>
      <c r="I42" s="88" t="s">
        <v>42</v>
      </c>
      <c r="J42" s="90" t="e">
        <f>E42*G42</f>
        <v>#VALUE!</v>
      </c>
      <c r="K42" s="88" t="s">
        <v>43</v>
      </c>
      <c r="L42" s="202"/>
    </row>
    <row r="43" spans="1:12" ht="15.65" customHeight="1">
      <c r="A43" s="198" t="s">
        <v>114</v>
      </c>
      <c r="B43" s="145" t="s">
        <v>115</v>
      </c>
      <c r="C43" s="160" t="s">
        <v>15</v>
      </c>
      <c r="D43" s="97" t="s">
        <v>116</v>
      </c>
      <c r="E43" s="96">
        <v>5.6</v>
      </c>
      <c r="F43" s="88">
        <f>E43*8*24*30</f>
        <v>32255.999999999993</v>
      </c>
      <c r="G43" s="89" t="s">
        <v>81</v>
      </c>
      <c r="H43" s="92" t="s">
        <v>18</v>
      </c>
      <c r="I43" s="93" t="s">
        <v>19</v>
      </c>
      <c r="J43" s="90" t="e">
        <f t="shared" si="4"/>
        <v>#VALUE!</v>
      </c>
      <c r="K43" s="88" t="s">
        <v>96</v>
      </c>
      <c r="L43" s="202"/>
    </row>
    <row r="44" spans="1:12" ht="15.65" customHeight="1">
      <c r="A44" s="199"/>
      <c r="B44" s="146"/>
      <c r="C44" s="161"/>
      <c r="D44" s="86" t="s">
        <v>117</v>
      </c>
      <c r="E44" s="87">
        <v>5.6</v>
      </c>
      <c r="F44" s="88">
        <f t="shared" ref="F44:F48" si="6">E44*8*24*30</f>
        <v>32255.999999999993</v>
      </c>
      <c r="G44" s="89" t="s">
        <v>81</v>
      </c>
      <c r="H44" s="92" t="s">
        <v>18</v>
      </c>
      <c r="I44" s="93" t="s">
        <v>19</v>
      </c>
      <c r="J44" s="90" t="e">
        <f t="shared" si="4"/>
        <v>#VALUE!</v>
      </c>
      <c r="K44" s="88" t="s">
        <v>96</v>
      </c>
      <c r="L44" s="202"/>
    </row>
    <row r="45" spans="1:12" ht="15.65" customHeight="1">
      <c r="A45" s="198" t="s">
        <v>118</v>
      </c>
      <c r="B45" s="147" t="s">
        <v>119</v>
      </c>
      <c r="C45" s="98" t="s">
        <v>35</v>
      </c>
      <c r="D45" s="86" t="s">
        <v>120</v>
      </c>
      <c r="E45" s="87">
        <v>20</v>
      </c>
      <c r="F45" s="88">
        <f t="shared" si="6"/>
        <v>115200</v>
      </c>
      <c r="G45" s="89" t="s">
        <v>81</v>
      </c>
      <c r="H45" s="92" t="s">
        <v>18</v>
      </c>
      <c r="I45" s="93" t="s">
        <v>19</v>
      </c>
      <c r="J45" s="90" t="e">
        <f t="shared" si="4"/>
        <v>#VALUE!</v>
      </c>
      <c r="K45" s="88" t="s">
        <v>96</v>
      </c>
      <c r="L45" s="202"/>
    </row>
    <row r="46" spans="1:12" ht="15.65" customHeight="1">
      <c r="A46" s="200"/>
      <c r="B46" s="148"/>
      <c r="C46" s="98" t="s">
        <v>65</v>
      </c>
      <c r="D46" s="86" t="s">
        <v>121</v>
      </c>
      <c r="E46" s="87">
        <v>20</v>
      </c>
      <c r="F46" s="88">
        <f t="shared" ref="F46" si="7">E46*8*24*30</f>
        <v>115200</v>
      </c>
      <c r="G46" s="89" t="s">
        <v>81</v>
      </c>
      <c r="H46" s="92" t="s">
        <v>18</v>
      </c>
      <c r="I46" s="93" t="s">
        <v>19</v>
      </c>
      <c r="J46" s="90" t="e">
        <f t="shared" ref="J46" si="8">E46*G46+F46*I46*H46</f>
        <v>#VALUE!</v>
      </c>
      <c r="K46" s="88" t="s">
        <v>96</v>
      </c>
      <c r="L46" s="202"/>
    </row>
    <row r="47" spans="1:12" ht="15.65" customHeight="1">
      <c r="A47" s="200"/>
      <c r="B47" s="149"/>
      <c r="C47" s="98" t="s">
        <v>60</v>
      </c>
      <c r="D47" s="86" t="s">
        <v>122</v>
      </c>
      <c r="E47" s="87">
        <v>20</v>
      </c>
      <c r="F47" s="88">
        <f t="shared" si="6"/>
        <v>115200</v>
      </c>
      <c r="G47" s="89" t="s">
        <v>81</v>
      </c>
      <c r="H47" s="92" t="s">
        <v>18</v>
      </c>
      <c r="I47" s="93" t="s">
        <v>19</v>
      </c>
      <c r="J47" s="90" t="e">
        <f t="shared" si="4"/>
        <v>#VALUE!</v>
      </c>
      <c r="K47" s="88" t="s">
        <v>123</v>
      </c>
      <c r="L47" s="202"/>
    </row>
    <row r="48" spans="1:12" ht="15.65" customHeight="1">
      <c r="A48" s="200"/>
      <c r="B48" s="99" t="s">
        <v>124</v>
      </c>
      <c r="C48" s="98" t="s">
        <v>386</v>
      </c>
      <c r="D48" s="86" t="s">
        <v>120</v>
      </c>
      <c r="E48" s="87">
        <v>20</v>
      </c>
      <c r="F48" s="88">
        <f t="shared" si="6"/>
        <v>115200</v>
      </c>
      <c r="G48" s="89" t="s">
        <v>81</v>
      </c>
      <c r="H48" s="92" t="s">
        <v>18</v>
      </c>
      <c r="I48" s="93" t="s">
        <v>19</v>
      </c>
      <c r="J48" s="90" t="e">
        <f t="shared" si="4"/>
        <v>#VALUE!</v>
      </c>
      <c r="K48" s="88" t="s">
        <v>383</v>
      </c>
      <c r="L48" s="202"/>
    </row>
    <row r="49" spans="1:13" ht="15.65" customHeight="1">
      <c r="A49" s="199"/>
      <c r="B49" s="99" t="s">
        <v>125</v>
      </c>
      <c r="C49" s="98" t="s">
        <v>126</v>
      </c>
      <c r="D49" s="86" t="s">
        <v>127</v>
      </c>
      <c r="E49" s="87">
        <v>20</v>
      </c>
      <c r="F49" s="88">
        <f>E49*4*24*30</f>
        <v>57600</v>
      </c>
      <c r="G49" s="89" t="s">
        <v>81</v>
      </c>
      <c r="H49" s="89" t="s">
        <v>18</v>
      </c>
      <c r="I49" s="132" t="s">
        <v>19</v>
      </c>
      <c r="J49" s="88" t="e">
        <f t="shared" si="4"/>
        <v>#VALUE!</v>
      </c>
      <c r="K49" s="88" t="s">
        <v>123</v>
      </c>
      <c r="L49" s="202"/>
    </row>
    <row r="50" spans="1:13" ht="15.65" customHeight="1">
      <c r="A50" s="164" t="s">
        <v>128</v>
      </c>
      <c r="B50" s="165"/>
      <c r="C50" s="165"/>
      <c r="D50" s="165"/>
      <c r="E50" s="165"/>
      <c r="F50" s="165"/>
      <c r="G50" s="165"/>
      <c r="H50" s="165"/>
      <c r="I50" s="165"/>
      <c r="J50" s="165"/>
      <c r="K50" s="165"/>
      <c r="L50" s="166"/>
    </row>
    <row r="51" spans="1:13" ht="37.299999999999997" customHeight="1">
      <c r="A51" s="170" t="s">
        <v>129</v>
      </c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2"/>
    </row>
    <row r="52" spans="1:13" ht="29.15">
      <c r="A52" s="46" t="s">
        <v>1</v>
      </c>
      <c r="B52" s="46" t="s">
        <v>3</v>
      </c>
      <c r="C52" s="46" t="s">
        <v>2</v>
      </c>
      <c r="D52" s="47" t="s">
        <v>130</v>
      </c>
      <c r="E52" s="47" t="s">
        <v>131</v>
      </c>
      <c r="F52" s="173" t="s">
        <v>132</v>
      </c>
      <c r="G52" s="174"/>
      <c r="H52" s="173" t="s">
        <v>9</v>
      </c>
      <c r="I52" s="174"/>
      <c r="J52" s="173" t="s">
        <v>10</v>
      </c>
      <c r="K52" s="174"/>
      <c r="L52" s="100" t="s">
        <v>12</v>
      </c>
    </row>
    <row r="53" spans="1:13" ht="15.65" customHeight="1">
      <c r="A53" s="101" t="s">
        <v>133</v>
      </c>
      <c r="B53" s="102" t="s">
        <v>134</v>
      </c>
      <c r="C53" s="48" t="s">
        <v>135</v>
      </c>
      <c r="D53" s="49" t="s">
        <v>136</v>
      </c>
      <c r="E53" s="50">
        <v>80</v>
      </c>
      <c r="F53" s="153" t="s">
        <v>18</v>
      </c>
      <c r="G53" s="154"/>
      <c r="H53" s="153" t="s">
        <v>19</v>
      </c>
      <c r="I53" s="154"/>
      <c r="J53" s="177" t="e">
        <f>E53*F53*H53</f>
        <v>#VALUE!</v>
      </c>
      <c r="K53" s="177"/>
      <c r="L53" s="184"/>
      <c r="M53" s="104"/>
    </row>
    <row r="54" spans="1:13" ht="106.75" customHeight="1">
      <c r="A54" s="101" t="s">
        <v>133</v>
      </c>
      <c r="B54" s="105" t="s">
        <v>388</v>
      </c>
      <c r="C54" s="48" t="s">
        <v>137</v>
      </c>
      <c r="D54" s="49" t="s">
        <v>138</v>
      </c>
      <c r="E54" s="50">
        <v>300</v>
      </c>
      <c r="F54" s="153" t="s">
        <v>18</v>
      </c>
      <c r="G54" s="154"/>
      <c r="H54" s="153" t="s">
        <v>19</v>
      </c>
      <c r="I54" s="154"/>
      <c r="J54" s="177" t="e">
        <f>E54*F54*H54</f>
        <v>#VALUE!</v>
      </c>
      <c r="K54" s="177"/>
      <c r="L54" s="185"/>
    </row>
    <row r="55" spans="1:13" ht="14.6">
      <c r="A55" s="178" t="s">
        <v>139</v>
      </c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80"/>
    </row>
    <row r="56" spans="1:13" ht="37.299999999999997" customHeight="1">
      <c r="A56" s="170" t="s">
        <v>140</v>
      </c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2"/>
    </row>
    <row r="57" spans="1:13" ht="30.65" customHeight="1">
      <c r="A57" s="106" t="s">
        <v>141</v>
      </c>
      <c r="B57" s="106" t="s">
        <v>142</v>
      </c>
      <c r="C57" s="106" t="s">
        <v>143</v>
      </c>
      <c r="D57" s="106" t="s">
        <v>144</v>
      </c>
      <c r="E57" s="107" t="s">
        <v>145</v>
      </c>
      <c r="F57" s="181" t="s">
        <v>8</v>
      </c>
      <c r="G57" s="181"/>
      <c r="H57" s="182" t="s">
        <v>9</v>
      </c>
      <c r="I57" s="183"/>
      <c r="J57" s="182" t="s">
        <v>10</v>
      </c>
      <c r="K57" s="183"/>
      <c r="L57" s="100" t="s">
        <v>12</v>
      </c>
    </row>
    <row r="58" spans="1:13" ht="14.8" customHeight="1">
      <c r="A58" s="108" t="s">
        <v>146</v>
      </c>
      <c r="B58" s="108" t="s">
        <v>147</v>
      </c>
      <c r="C58" s="108" t="s">
        <v>148</v>
      </c>
      <c r="D58" s="82" t="s">
        <v>149</v>
      </c>
      <c r="E58" s="109">
        <v>517.30999999999995</v>
      </c>
      <c r="F58" s="152" t="s">
        <v>18</v>
      </c>
      <c r="G58" s="152"/>
      <c r="H58" s="153" t="s">
        <v>19</v>
      </c>
      <c r="I58" s="154"/>
      <c r="J58" s="177" t="e">
        <f>E58*F58*H58</f>
        <v>#VALUE!</v>
      </c>
      <c r="K58" s="177"/>
      <c r="L58" s="133"/>
    </row>
    <row r="59" spans="1:13" ht="14.8" customHeight="1">
      <c r="A59" s="108" t="s">
        <v>146</v>
      </c>
      <c r="B59" s="108" t="s">
        <v>147</v>
      </c>
      <c r="C59" s="108" t="s">
        <v>148</v>
      </c>
      <c r="D59" s="82" t="s">
        <v>150</v>
      </c>
      <c r="E59" s="109">
        <v>1034.6199999999999</v>
      </c>
      <c r="F59" s="152" t="s">
        <v>18</v>
      </c>
      <c r="G59" s="152"/>
      <c r="H59" s="153" t="s">
        <v>19</v>
      </c>
      <c r="I59" s="154"/>
      <c r="J59" s="177" t="e">
        <f t="shared" ref="J59:J63" si="9">E59*F59*H59</f>
        <v>#VALUE!</v>
      </c>
      <c r="K59" s="177"/>
      <c r="L59" s="134"/>
    </row>
    <row r="60" spans="1:13" ht="14.8" customHeight="1">
      <c r="A60" s="108" t="s">
        <v>146</v>
      </c>
      <c r="B60" s="108" t="s">
        <v>147</v>
      </c>
      <c r="C60" s="108" t="s">
        <v>148</v>
      </c>
      <c r="D60" s="82" t="s">
        <v>151</v>
      </c>
      <c r="E60" s="109">
        <v>2415</v>
      </c>
      <c r="F60" s="152" t="s">
        <v>18</v>
      </c>
      <c r="G60" s="152"/>
      <c r="H60" s="153" t="s">
        <v>19</v>
      </c>
      <c r="I60" s="154"/>
      <c r="J60" s="177" t="e">
        <f t="shared" si="9"/>
        <v>#VALUE!</v>
      </c>
      <c r="K60" s="177"/>
      <c r="L60" s="134"/>
    </row>
    <row r="61" spans="1:13" ht="14.8" customHeight="1">
      <c r="A61" s="108" t="s">
        <v>146</v>
      </c>
      <c r="B61" s="108" t="s">
        <v>147</v>
      </c>
      <c r="C61" s="108" t="s">
        <v>148</v>
      </c>
      <c r="D61" s="82" t="s">
        <v>152</v>
      </c>
      <c r="E61" s="109">
        <v>4830</v>
      </c>
      <c r="F61" s="152" t="s">
        <v>18</v>
      </c>
      <c r="G61" s="152"/>
      <c r="H61" s="153" t="s">
        <v>19</v>
      </c>
      <c r="I61" s="154"/>
      <c r="J61" s="177" t="e">
        <f t="shared" si="9"/>
        <v>#VALUE!</v>
      </c>
      <c r="K61" s="177"/>
      <c r="L61" s="134"/>
    </row>
    <row r="62" spans="1:13" ht="14.8" customHeight="1">
      <c r="A62" s="108" t="s">
        <v>146</v>
      </c>
      <c r="B62" s="108" t="s">
        <v>147</v>
      </c>
      <c r="C62" s="108" t="s">
        <v>148</v>
      </c>
      <c r="D62" s="82" t="s">
        <v>153</v>
      </c>
      <c r="E62" s="109">
        <v>2800</v>
      </c>
      <c r="F62" s="152" t="s">
        <v>18</v>
      </c>
      <c r="G62" s="152"/>
      <c r="H62" s="153" t="s">
        <v>19</v>
      </c>
      <c r="I62" s="154"/>
      <c r="J62" s="177" t="e">
        <f t="shared" si="9"/>
        <v>#VALUE!</v>
      </c>
      <c r="K62" s="177"/>
      <c r="L62" s="134"/>
    </row>
    <row r="63" spans="1:13" ht="14.8" customHeight="1">
      <c r="A63" s="108" t="s">
        <v>146</v>
      </c>
      <c r="B63" s="108" t="s">
        <v>147</v>
      </c>
      <c r="C63" s="108" t="s">
        <v>148</v>
      </c>
      <c r="D63" s="82" t="s">
        <v>154</v>
      </c>
      <c r="E63" s="109">
        <v>5600</v>
      </c>
      <c r="F63" s="152" t="s">
        <v>18</v>
      </c>
      <c r="G63" s="152"/>
      <c r="H63" s="153" t="s">
        <v>19</v>
      </c>
      <c r="I63" s="154"/>
      <c r="J63" s="177" t="e">
        <f t="shared" si="9"/>
        <v>#VALUE!</v>
      </c>
      <c r="K63" s="177"/>
      <c r="L63" s="135"/>
    </row>
    <row r="64" spans="1:13" ht="14.8" customHeight="1">
      <c r="A64" s="110"/>
      <c r="B64" s="111"/>
      <c r="C64" s="111"/>
      <c r="D64" s="112"/>
      <c r="E64" s="113"/>
      <c r="F64" s="114"/>
      <c r="G64" s="114"/>
      <c r="H64" s="115"/>
      <c r="I64" s="115"/>
      <c r="J64" s="111"/>
      <c r="K64" s="111"/>
      <c r="L64" s="116"/>
    </row>
    <row r="65" spans="1:12" ht="37.299999999999997" customHeight="1">
      <c r="A65" s="170" t="s">
        <v>155</v>
      </c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2"/>
    </row>
    <row r="66" spans="1:12" ht="29.15">
      <c r="A66" s="106" t="s">
        <v>1</v>
      </c>
      <c r="B66" s="46" t="s">
        <v>2</v>
      </c>
      <c r="C66" s="173" t="s">
        <v>130</v>
      </c>
      <c r="D66" s="174"/>
      <c r="E66" s="47" t="s">
        <v>156</v>
      </c>
      <c r="F66" s="173" t="s">
        <v>157</v>
      </c>
      <c r="G66" s="174"/>
      <c r="H66" s="173" t="s">
        <v>158</v>
      </c>
      <c r="I66" s="174"/>
      <c r="J66" s="173" t="s">
        <v>10</v>
      </c>
      <c r="K66" s="174"/>
      <c r="L66" s="100" t="s">
        <v>12</v>
      </c>
    </row>
    <row r="67" spans="1:12" ht="15.65" customHeight="1">
      <c r="A67" s="139" t="s">
        <v>159</v>
      </c>
      <c r="B67" s="117" t="s">
        <v>160</v>
      </c>
      <c r="C67" s="162" t="s">
        <v>161</v>
      </c>
      <c r="D67" s="163"/>
      <c r="E67" s="103">
        <v>0</v>
      </c>
      <c r="F67" s="152" t="s">
        <v>18</v>
      </c>
      <c r="G67" s="152"/>
      <c r="H67" s="153" t="s">
        <v>19</v>
      </c>
      <c r="I67" s="154"/>
      <c r="J67" s="177" t="e">
        <f>E67*F67*G67</f>
        <v>#VALUE!</v>
      </c>
      <c r="K67" s="177"/>
      <c r="L67" s="133"/>
    </row>
    <row r="68" spans="1:12" ht="15.65" customHeight="1">
      <c r="A68" s="140"/>
      <c r="B68" s="117" t="s">
        <v>162</v>
      </c>
      <c r="C68" s="162" t="s">
        <v>163</v>
      </c>
      <c r="D68" s="163"/>
      <c r="E68" s="117" t="s">
        <v>164</v>
      </c>
      <c r="F68" s="152" t="s">
        <v>18</v>
      </c>
      <c r="G68" s="152"/>
      <c r="H68" s="153" t="s">
        <v>19</v>
      </c>
      <c r="I68" s="154"/>
      <c r="J68" s="177" t="e">
        <f>E68*F68*G68</f>
        <v>#VALUE!</v>
      </c>
      <c r="K68" s="177"/>
      <c r="L68" s="134"/>
    </row>
    <row r="69" spans="1:12" ht="15" customHeight="1">
      <c r="A69" s="140"/>
      <c r="B69" s="117" t="s">
        <v>165</v>
      </c>
      <c r="C69" s="162" t="s">
        <v>166</v>
      </c>
      <c r="D69" s="163"/>
      <c r="E69" s="50">
        <v>1500</v>
      </c>
      <c r="F69" s="153" t="s">
        <v>167</v>
      </c>
      <c r="G69" s="154"/>
      <c r="H69" s="153" t="s">
        <v>19</v>
      </c>
      <c r="I69" s="154"/>
      <c r="J69" s="177" t="e">
        <f>E69*F69*G69</f>
        <v>#VALUE!</v>
      </c>
      <c r="K69" s="177"/>
      <c r="L69" s="134"/>
    </row>
    <row r="70" spans="1:12" ht="15" customHeight="1">
      <c r="A70" s="140"/>
      <c r="B70" s="117" t="s">
        <v>168</v>
      </c>
      <c r="C70" s="162" t="s">
        <v>384</v>
      </c>
      <c r="D70" s="163"/>
      <c r="E70" s="50">
        <v>1200</v>
      </c>
      <c r="F70" s="153" t="s">
        <v>42</v>
      </c>
      <c r="G70" s="154"/>
      <c r="H70" s="153" t="s">
        <v>19</v>
      </c>
      <c r="I70" s="154"/>
      <c r="J70" s="177">
        <f>E70*G70</f>
        <v>0</v>
      </c>
      <c r="K70" s="177"/>
      <c r="L70" s="134"/>
    </row>
    <row r="71" spans="1:12" ht="15.65" customHeight="1">
      <c r="A71" s="140"/>
      <c r="B71" s="117" t="s">
        <v>169</v>
      </c>
      <c r="C71" s="162" t="s">
        <v>170</v>
      </c>
      <c r="D71" s="163"/>
      <c r="E71" s="117" t="s">
        <v>171</v>
      </c>
      <c r="F71" s="152" t="s">
        <v>18</v>
      </c>
      <c r="G71" s="152"/>
      <c r="H71" s="153" t="s">
        <v>19</v>
      </c>
      <c r="I71" s="154"/>
      <c r="J71" s="177" t="e">
        <f>E71*F71*G71</f>
        <v>#VALUE!</v>
      </c>
      <c r="K71" s="177"/>
      <c r="L71" s="134"/>
    </row>
    <row r="72" spans="1:12" ht="15.65" customHeight="1">
      <c r="A72" s="141"/>
      <c r="B72" s="117" t="s">
        <v>172</v>
      </c>
      <c r="C72" s="162" t="s">
        <v>173</v>
      </c>
      <c r="D72" s="163"/>
      <c r="E72" s="50">
        <v>2000</v>
      </c>
      <c r="F72" s="152" t="s">
        <v>18</v>
      </c>
      <c r="G72" s="152"/>
      <c r="H72" s="153" t="s">
        <v>19</v>
      </c>
      <c r="I72" s="154"/>
      <c r="J72" s="177" t="e">
        <f>E72*F72*G72</f>
        <v>#VALUE!</v>
      </c>
      <c r="K72" s="177"/>
      <c r="L72" s="135"/>
    </row>
    <row r="73" spans="1:12" ht="15.65" customHeight="1">
      <c r="A73" s="118"/>
      <c r="B73" s="119"/>
      <c r="C73" s="120"/>
      <c r="D73" s="120"/>
      <c r="E73" s="121"/>
      <c r="F73" s="114"/>
      <c r="G73" s="114"/>
      <c r="H73" s="114"/>
      <c r="I73" s="114"/>
      <c r="J73" s="119"/>
      <c r="K73" s="111"/>
      <c r="L73" s="116"/>
    </row>
    <row r="74" spans="1:12" ht="37.299999999999997" customHeight="1">
      <c r="A74" s="170" t="s">
        <v>174</v>
      </c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2"/>
    </row>
    <row r="75" spans="1:12" ht="29.15">
      <c r="A75" s="106" t="s">
        <v>1</v>
      </c>
      <c r="B75" s="46" t="s">
        <v>2</v>
      </c>
      <c r="C75" s="173" t="s">
        <v>130</v>
      </c>
      <c r="D75" s="174"/>
      <c r="E75" s="47" t="s">
        <v>175</v>
      </c>
      <c r="F75" s="173" t="s">
        <v>157</v>
      </c>
      <c r="G75" s="174"/>
      <c r="H75" s="173" t="s">
        <v>176</v>
      </c>
      <c r="I75" s="174"/>
      <c r="J75" s="173" t="s">
        <v>10</v>
      </c>
      <c r="K75" s="174"/>
      <c r="L75" s="47" t="s">
        <v>12</v>
      </c>
    </row>
    <row r="76" spans="1:12" ht="72.900000000000006" customHeight="1">
      <c r="A76" s="139" t="s">
        <v>174</v>
      </c>
      <c r="B76" s="122" t="s">
        <v>177</v>
      </c>
      <c r="C76" s="175" t="s">
        <v>178</v>
      </c>
      <c r="D76" s="175"/>
      <c r="E76" s="123" t="s">
        <v>179</v>
      </c>
      <c r="F76" s="157" t="s">
        <v>42</v>
      </c>
      <c r="G76" s="158"/>
      <c r="H76" s="157" t="s">
        <v>42</v>
      </c>
      <c r="I76" s="158"/>
      <c r="J76" s="176">
        <v>0</v>
      </c>
      <c r="K76" s="176"/>
      <c r="L76" s="136" t="s">
        <v>180</v>
      </c>
    </row>
    <row r="77" spans="1:12">
      <c r="A77" s="140"/>
      <c r="B77" s="122" t="s">
        <v>181</v>
      </c>
      <c r="C77" s="162" t="s">
        <v>182</v>
      </c>
      <c r="D77" s="163"/>
      <c r="E77" s="123" t="s">
        <v>179</v>
      </c>
      <c r="F77" s="157" t="s">
        <v>42</v>
      </c>
      <c r="G77" s="158"/>
      <c r="H77" s="157" t="s">
        <v>42</v>
      </c>
      <c r="I77" s="158"/>
      <c r="J77" s="155">
        <v>0</v>
      </c>
      <c r="K77" s="156"/>
      <c r="L77" s="137"/>
    </row>
    <row r="78" spans="1:12">
      <c r="A78" s="140"/>
      <c r="B78" s="150" t="s">
        <v>183</v>
      </c>
      <c r="C78" s="162" t="s">
        <v>184</v>
      </c>
      <c r="D78" s="163"/>
      <c r="E78" s="123" t="s">
        <v>179</v>
      </c>
      <c r="F78" s="157" t="s">
        <v>42</v>
      </c>
      <c r="G78" s="158"/>
      <c r="H78" s="157" t="s">
        <v>42</v>
      </c>
      <c r="I78" s="158"/>
      <c r="J78" s="155">
        <v>0</v>
      </c>
      <c r="K78" s="156"/>
      <c r="L78" s="137"/>
    </row>
    <row r="79" spans="1:12">
      <c r="A79" s="140"/>
      <c r="B79" s="151"/>
      <c r="C79" s="162" t="s">
        <v>185</v>
      </c>
      <c r="D79" s="163"/>
      <c r="E79" s="50" t="s">
        <v>186</v>
      </c>
      <c r="F79" s="152" t="s">
        <v>18</v>
      </c>
      <c r="G79" s="152"/>
      <c r="H79" s="153" t="s">
        <v>19</v>
      </c>
      <c r="I79" s="154"/>
      <c r="J79" s="155" t="e">
        <f t="shared" ref="J79:J86" si="10">H79*I79</f>
        <v>#VALUE!</v>
      </c>
      <c r="K79" s="156"/>
      <c r="L79" s="137"/>
    </row>
    <row r="80" spans="1:12">
      <c r="A80" s="140"/>
      <c r="B80" s="117" t="s">
        <v>187</v>
      </c>
      <c r="C80" s="162" t="s">
        <v>188</v>
      </c>
      <c r="D80" s="163"/>
      <c r="E80" s="123" t="s">
        <v>179</v>
      </c>
      <c r="F80" s="157" t="s">
        <v>42</v>
      </c>
      <c r="G80" s="158"/>
      <c r="H80" s="157" t="s">
        <v>42</v>
      </c>
      <c r="I80" s="158"/>
      <c r="J80" s="155">
        <v>0</v>
      </c>
      <c r="K80" s="156"/>
      <c r="L80" s="137"/>
    </row>
    <row r="81" spans="1:12">
      <c r="A81" s="140"/>
      <c r="B81" s="117" t="s">
        <v>189</v>
      </c>
      <c r="C81" s="162" t="s">
        <v>190</v>
      </c>
      <c r="D81" s="163"/>
      <c r="E81" s="123" t="s">
        <v>179</v>
      </c>
      <c r="F81" s="157" t="s">
        <v>42</v>
      </c>
      <c r="G81" s="158"/>
      <c r="H81" s="157" t="s">
        <v>42</v>
      </c>
      <c r="I81" s="158"/>
      <c r="J81" s="155">
        <v>0</v>
      </c>
      <c r="K81" s="156"/>
      <c r="L81" s="137"/>
    </row>
    <row r="82" spans="1:12">
      <c r="A82" s="140"/>
      <c r="B82" s="117" t="s">
        <v>191</v>
      </c>
      <c r="C82" s="162" t="s">
        <v>192</v>
      </c>
      <c r="D82" s="163"/>
      <c r="E82" s="123" t="s">
        <v>179</v>
      </c>
      <c r="F82" s="157" t="s">
        <v>42</v>
      </c>
      <c r="G82" s="158"/>
      <c r="H82" s="157" t="s">
        <v>42</v>
      </c>
      <c r="I82" s="158"/>
      <c r="J82" s="155">
        <v>0</v>
      </c>
      <c r="K82" s="156"/>
      <c r="L82" s="137"/>
    </row>
    <row r="83" spans="1:12">
      <c r="A83" s="141"/>
      <c r="B83" s="117" t="s">
        <v>193</v>
      </c>
      <c r="C83" s="162" t="s">
        <v>194</v>
      </c>
      <c r="D83" s="163"/>
      <c r="E83" s="50" t="s">
        <v>186</v>
      </c>
      <c r="F83" s="152" t="s">
        <v>18</v>
      </c>
      <c r="G83" s="152"/>
      <c r="H83" s="153" t="s">
        <v>19</v>
      </c>
      <c r="I83" s="154"/>
      <c r="J83" s="155" t="e">
        <f t="shared" si="10"/>
        <v>#VALUE!</v>
      </c>
      <c r="K83" s="156"/>
      <c r="L83" s="137"/>
    </row>
    <row r="84" spans="1:12">
      <c r="A84" s="139" t="s">
        <v>195</v>
      </c>
      <c r="B84" s="117" t="s">
        <v>196</v>
      </c>
      <c r="C84" s="162" t="s">
        <v>197</v>
      </c>
      <c r="D84" s="163"/>
      <c r="E84" s="50" t="s">
        <v>186</v>
      </c>
      <c r="F84" s="152" t="s">
        <v>18</v>
      </c>
      <c r="G84" s="152"/>
      <c r="H84" s="153" t="s">
        <v>19</v>
      </c>
      <c r="I84" s="154"/>
      <c r="J84" s="155" t="e">
        <f t="shared" si="10"/>
        <v>#VALUE!</v>
      </c>
      <c r="K84" s="156"/>
      <c r="L84" s="137"/>
    </row>
    <row r="85" spans="1:12">
      <c r="A85" s="140"/>
      <c r="B85" s="117" t="s">
        <v>198</v>
      </c>
      <c r="C85" s="162" t="s">
        <v>199</v>
      </c>
      <c r="D85" s="163"/>
      <c r="E85" s="50" t="s">
        <v>186</v>
      </c>
      <c r="F85" s="152" t="s">
        <v>18</v>
      </c>
      <c r="G85" s="152"/>
      <c r="H85" s="153" t="s">
        <v>19</v>
      </c>
      <c r="I85" s="154"/>
      <c r="J85" s="155" t="e">
        <f t="shared" si="10"/>
        <v>#VALUE!</v>
      </c>
      <c r="K85" s="156"/>
      <c r="L85" s="137"/>
    </row>
    <row r="86" spans="1:12">
      <c r="A86" s="141"/>
      <c r="B86" s="117" t="s">
        <v>200</v>
      </c>
      <c r="C86" s="162" t="s">
        <v>201</v>
      </c>
      <c r="D86" s="163"/>
      <c r="E86" s="50" t="s">
        <v>186</v>
      </c>
      <c r="F86" s="152" t="s">
        <v>18</v>
      </c>
      <c r="G86" s="152"/>
      <c r="H86" s="153" t="s">
        <v>19</v>
      </c>
      <c r="I86" s="154"/>
      <c r="J86" s="155" t="e">
        <f t="shared" si="10"/>
        <v>#VALUE!</v>
      </c>
      <c r="K86" s="156"/>
      <c r="L86" s="138"/>
    </row>
    <row r="87" spans="1:12" ht="15.65" customHeight="1">
      <c r="A87" s="164" t="s">
        <v>202</v>
      </c>
      <c r="B87" s="165"/>
      <c r="C87" s="165"/>
      <c r="D87" s="165"/>
      <c r="E87" s="165"/>
      <c r="F87" s="165"/>
      <c r="G87" s="165"/>
      <c r="H87" s="165"/>
      <c r="I87" s="165"/>
      <c r="J87" s="165"/>
      <c r="K87" s="165"/>
      <c r="L87" s="166"/>
    </row>
    <row r="88" spans="1:12" ht="46.3" customHeight="1">
      <c r="A88" s="167" t="s">
        <v>203</v>
      </c>
      <c r="B88" s="168"/>
      <c r="C88" s="169"/>
      <c r="D88" s="167" t="e">
        <f>SUM(J4:J49)+SUM(J53:J54)+SUM(J58:J63)+SUM(J67:J72)+SUM(J76:J86)</f>
        <v>#VALUE!</v>
      </c>
      <c r="E88" s="168"/>
      <c r="F88" s="168"/>
      <c r="G88" s="168"/>
      <c r="H88" s="168"/>
      <c r="I88" s="168"/>
      <c r="J88" s="168"/>
      <c r="K88" s="168"/>
      <c r="L88" s="169"/>
    </row>
    <row r="89" spans="1:12" ht="54" customHeight="1">
      <c r="A89" s="167" t="s">
        <v>204</v>
      </c>
      <c r="B89" s="168"/>
      <c r="C89" s="169"/>
      <c r="D89" s="167" t="e">
        <f>D88/1.06</f>
        <v>#VALUE!</v>
      </c>
      <c r="E89" s="168"/>
      <c r="F89" s="168"/>
      <c r="G89" s="168"/>
      <c r="H89" s="168"/>
      <c r="I89" s="168"/>
      <c r="J89" s="168"/>
      <c r="K89" s="168"/>
      <c r="L89" s="169"/>
    </row>
  </sheetData>
  <mergeCells count="147">
    <mergeCell ref="A1:L1"/>
    <mergeCell ref="A2:L2"/>
    <mergeCell ref="A50:L50"/>
    <mergeCell ref="A51:L51"/>
    <mergeCell ref="F52:G52"/>
    <mergeCell ref="H52:I52"/>
    <mergeCell ref="J52:K52"/>
    <mergeCell ref="F53:G53"/>
    <mergeCell ref="H53:I53"/>
    <mergeCell ref="J53:K53"/>
    <mergeCell ref="A4:A11"/>
    <mergeCell ref="A12:A16"/>
    <mergeCell ref="A17:A20"/>
    <mergeCell ref="A21:A26"/>
    <mergeCell ref="A27:A29"/>
    <mergeCell ref="A30:A38"/>
    <mergeCell ref="A43:A44"/>
    <mergeCell ref="A45:A49"/>
    <mergeCell ref="L4:L49"/>
    <mergeCell ref="C28:C29"/>
    <mergeCell ref="C4:C5"/>
    <mergeCell ref="C13:C14"/>
    <mergeCell ref="C15:C16"/>
    <mergeCell ref="C33:C36"/>
    <mergeCell ref="F54:G54"/>
    <mergeCell ref="H54:I54"/>
    <mergeCell ref="J54:K54"/>
    <mergeCell ref="A55:L55"/>
    <mergeCell ref="A56:L56"/>
    <mergeCell ref="F57:G57"/>
    <mergeCell ref="H57:I57"/>
    <mergeCell ref="J57:K57"/>
    <mergeCell ref="F58:G58"/>
    <mergeCell ref="H58:I58"/>
    <mergeCell ref="J58:K58"/>
    <mergeCell ref="L53:L54"/>
    <mergeCell ref="F62:G62"/>
    <mergeCell ref="H62:I62"/>
    <mergeCell ref="J62:K62"/>
    <mergeCell ref="F63:G63"/>
    <mergeCell ref="H63:I63"/>
    <mergeCell ref="J63:K63"/>
    <mergeCell ref="A65:L65"/>
    <mergeCell ref="C66:D66"/>
    <mergeCell ref="F66:G66"/>
    <mergeCell ref="H66:I66"/>
    <mergeCell ref="J66:K66"/>
    <mergeCell ref="L58:L63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7:G67"/>
    <mergeCell ref="H67:I67"/>
    <mergeCell ref="J67:K67"/>
    <mergeCell ref="C68:D68"/>
    <mergeCell ref="F68:G68"/>
    <mergeCell ref="H68:I68"/>
    <mergeCell ref="J68:K68"/>
    <mergeCell ref="C69:D69"/>
    <mergeCell ref="F69:G69"/>
    <mergeCell ref="H69:I69"/>
    <mergeCell ref="J69:K69"/>
    <mergeCell ref="F70:G70"/>
    <mergeCell ref="H70:I70"/>
    <mergeCell ref="J70:K70"/>
    <mergeCell ref="C71:D71"/>
    <mergeCell ref="F71:G71"/>
    <mergeCell ref="H71:I71"/>
    <mergeCell ref="J71:K71"/>
    <mergeCell ref="C72:D72"/>
    <mergeCell ref="F72:G72"/>
    <mergeCell ref="H72:I72"/>
    <mergeCell ref="J72:K72"/>
    <mergeCell ref="F78:G78"/>
    <mergeCell ref="H78:I78"/>
    <mergeCell ref="J78:K78"/>
    <mergeCell ref="C79:D79"/>
    <mergeCell ref="F79:G79"/>
    <mergeCell ref="H79:I79"/>
    <mergeCell ref="J79:K79"/>
    <mergeCell ref="A74:L74"/>
    <mergeCell ref="C75:D75"/>
    <mergeCell ref="F75:G75"/>
    <mergeCell ref="H75:I75"/>
    <mergeCell ref="J75:K75"/>
    <mergeCell ref="C76:D76"/>
    <mergeCell ref="F76:G76"/>
    <mergeCell ref="H76:I76"/>
    <mergeCell ref="J76:K76"/>
    <mergeCell ref="A87:L87"/>
    <mergeCell ref="A88:C88"/>
    <mergeCell ref="D88:L88"/>
    <mergeCell ref="A89:C89"/>
    <mergeCell ref="D89:L89"/>
    <mergeCell ref="C83:D83"/>
    <mergeCell ref="F83:G83"/>
    <mergeCell ref="H83:I83"/>
    <mergeCell ref="J83:K83"/>
    <mergeCell ref="C84:D84"/>
    <mergeCell ref="F84:G84"/>
    <mergeCell ref="H84:I84"/>
    <mergeCell ref="J84:K84"/>
    <mergeCell ref="C85:D85"/>
    <mergeCell ref="F85:G85"/>
    <mergeCell ref="H85:I85"/>
    <mergeCell ref="J85:K85"/>
    <mergeCell ref="C37:C38"/>
    <mergeCell ref="C40:C42"/>
    <mergeCell ref="C43:C44"/>
    <mergeCell ref="C86:D86"/>
    <mergeCell ref="C80:D80"/>
    <mergeCell ref="C81:D81"/>
    <mergeCell ref="C82:D82"/>
    <mergeCell ref="C77:D77"/>
    <mergeCell ref="C78:D78"/>
    <mergeCell ref="C70:D70"/>
    <mergeCell ref="C67:D67"/>
    <mergeCell ref="L67:L72"/>
    <mergeCell ref="L76:L86"/>
    <mergeCell ref="A67:A72"/>
    <mergeCell ref="A76:A83"/>
    <mergeCell ref="A84:A86"/>
    <mergeCell ref="B36:B38"/>
    <mergeCell ref="B43:B44"/>
    <mergeCell ref="B45:B47"/>
    <mergeCell ref="B78:B79"/>
    <mergeCell ref="F86:G86"/>
    <mergeCell ref="H86:I86"/>
    <mergeCell ref="J86:K86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77:G77"/>
    <mergeCell ref="H77:I77"/>
    <mergeCell ref="J77:K77"/>
  </mergeCells>
  <phoneticPr fontId="28" type="noConversion"/>
  <pageMargins left="0.75" right="0.75" top="1" bottom="1" header="0.5" footer="0.5"/>
  <pageSetup paperSize="9" orientation="portrait"/>
  <ignoredErrors>
    <ignoredError sqref="F3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zoomScale="85" zoomScaleNormal="85" workbookViewId="0">
      <selection activeCell="G6" sqref="G6"/>
    </sheetView>
  </sheetViews>
  <sheetFormatPr defaultColWidth="8.85546875" defaultRowHeight="14.15"/>
  <cols>
    <col min="1" max="1" width="24.35546875" style="18" customWidth="1"/>
    <col min="2" max="2" width="17.42578125" style="18" customWidth="1"/>
    <col min="3" max="3" width="26" style="18" customWidth="1"/>
    <col min="4" max="4" width="76.7109375" style="18" customWidth="1"/>
    <col min="5" max="5" width="10.140625" style="18" customWidth="1"/>
    <col min="6" max="6" width="6.85546875" style="18" customWidth="1"/>
    <col min="7" max="7" width="12.7109375" style="19" customWidth="1"/>
    <col min="8" max="8" width="15.140625" style="19" customWidth="1"/>
    <col min="9" max="9" width="8.85546875" style="18" customWidth="1"/>
    <col min="10" max="10" width="16.640625" style="20" customWidth="1"/>
    <col min="11" max="11" width="19.35546875" style="20" customWidth="1"/>
    <col min="12" max="12" width="19.7109375" style="18" customWidth="1"/>
    <col min="13" max="16384" width="8.85546875" style="18"/>
  </cols>
  <sheetData>
    <row r="1" spans="1:12" customFormat="1" ht="37.299999999999997" customHeight="1">
      <c r="A1" s="186" t="s">
        <v>205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8"/>
    </row>
    <row r="2" spans="1:12" customFormat="1" ht="15.45">
      <c r="A2" s="21" t="s">
        <v>206</v>
      </c>
      <c r="B2" s="21"/>
      <c r="C2" s="210"/>
      <c r="D2" s="210"/>
      <c r="E2" s="22" t="s">
        <v>207</v>
      </c>
      <c r="F2" s="223"/>
      <c r="G2" s="223"/>
      <c r="H2" s="223"/>
      <c r="I2" s="223"/>
      <c r="J2" s="224"/>
      <c r="K2" s="224"/>
      <c r="L2" s="223"/>
    </row>
    <row r="3" spans="1:12" customFormat="1" ht="16.3">
      <c r="A3" s="21" t="s">
        <v>208</v>
      </c>
      <c r="B3" s="21"/>
      <c r="C3" s="210"/>
      <c r="D3" s="210"/>
      <c r="E3" s="22" t="s">
        <v>209</v>
      </c>
      <c r="F3" s="225"/>
      <c r="G3" s="225"/>
      <c r="H3" s="225"/>
      <c r="I3" s="225"/>
      <c r="J3" s="226"/>
      <c r="K3" s="226"/>
      <c r="L3" s="225"/>
    </row>
    <row r="4" spans="1:12" customFormat="1" ht="15.45">
      <c r="A4" s="21" t="s">
        <v>210</v>
      </c>
      <c r="B4" s="21"/>
      <c r="C4" s="210"/>
      <c r="D4" s="210"/>
      <c r="E4" s="23" t="s">
        <v>211</v>
      </c>
      <c r="F4" s="211">
        <f ca="1">TODAY()</f>
        <v>46153</v>
      </c>
      <c r="G4" s="211"/>
      <c r="H4" s="211"/>
      <c r="I4" s="210"/>
      <c r="J4" s="212"/>
      <c r="K4" s="212"/>
      <c r="L4" s="210"/>
    </row>
    <row r="5" spans="1:12" ht="28.3" customHeight="1">
      <c r="A5" s="24" t="s">
        <v>212</v>
      </c>
      <c r="B5" s="24" t="s">
        <v>3</v>
      </c>
      <c r="C5" s="24" t="s">
        <v>2</v>
      </c>
      <c r="D5" s="24" t="s">
        <v>213</v>
      </c>
      <c r="E5" s="25" t="s">
        <v>214</v>
      </c>
      <c r="F5" s="25" t="s">
        <v>215</v>
      </c>
      <c r="G5" s="25" t="s">
        <v>216</v>
      </c>
      <c r="H5" s="25" t="s">
        <v>217</v>
      </c>
      <c r="I5" s="25" t="s">
        <v>218</v>
      </c>
      <c r="J5" s="26" t="s">
        <v>219</v>
      </c>
      <c r="K5" s="27" t="s">
        <v>220</v>
      </c>
      <c r="L5" s="28" t="s">
        <v>12</v>
      </c>
    </row>
    <row r="6" spans="1:12" ht="27.45">
      <c r="A6" s="214" t="s">
        <v>221</v>
      </c>
      <c r="B6" s="30" t="s">
        <v>88</v>
      </c>
      <c r="C6" s="31" t="s">
        <v>222</v>
      </c>
      <c r="D6" s="31" t="s">
        <v>223</v>
      </c>
      <c r="E6" s="31" t="s">
        <v>224</v>
      </c>
      <c r="F6" s="31" t="s">
        <v>225</v>
      </c>
      <c r="G6" s="32">
        <v>5068.8</v>
      </c>
      <c r="H6" s="32">
        <f t="shared" ref="H6:H16" si="0">G6*12</f>
        <v>60825.600000000006</v>
      </c>
      <c r="I6" s="31" t="s">
        <v>226</v>
      </c>
      <c r="J6" s="33" t="e">
        <f>0.11*64*24*30*I6</f>
        <v>#VALUE!</v>
      </c>
      <c r="K6" s="32" t="e">
        <f>J6*12</f>
        <v>#VALUE!</v>
      </c>
      <c r="L6" s="220"/>
    </row>
    <row r="7" spans="1:12">
      <c r="A7" s="215"/>
      <c r="B7" s="31" t="s">
        <v>15</v>
      </c>
      <c r="C7" s="31" t="s">
        <v>227</v>
      </c>
      <c r="D7" s="31" t="s">
        <v>228</v>
      </c>
      <c r="E7" s="31" t="s">
        <v>224</v>
      </c>
      <c r="F7" s="31" t="s">
        <v>225</v>
      </c>
      <c r="G7" s="32">
        <v>2304</v>
      </c>
      <c r="H7" s="32">
        <f t="shared" si="0"/>
        <v>27648</v>
      </c>
      <c r="I7" s="31" t="s">
        <v>226</v>
      </c>
      <c r="J7" s="33" t="e">
        <f>0.1*32*24*30*I7</f>
        <v>#VALUE!</v>
      </c>
      <c r="K7" s="32" t="e">
        <f>J7*12</f>
        <v>#VALUE!</v>
      </c>
      <c r="L7" s="221"/>
    </row>
    <row r="8" spans="1:12">
      <c r="A8" s="215"/>
      <c r="B8" s="29" t="s">
        <v>27</v>
      </c>
      <c r="C8" s="31" t="s">
        <v>229</v>
      </c>
      <c r="D8" s="31" t="s">
        <v>230</v>
      </c>
      <c r="E8" s="31" t="s">
        <v>224</v>
      </c>
      <c r="F8" s="31" t="s">
        <v>225</v>
      </c>
      <c r="G8" s="32">
        <v>4608</v>
      </c>
      <c r="H8" s="32">
        <f t="shared" si="0"/>
        <v>55296</v>
      </c>
      <c r="I8" s="31" t="s">
        <v>226</v>
      </c>
      <c r="J8" s="33" t="e">
        <f>0.1*64*24*30*I8</f>
        <v>#VALUE!</v>
      </c>
      <c r="K8" s="32" t="e">
        <f>J8*12</f>
        <v>#VALUE!</v>
      </c>
      <c r="L8" s="221"/>
    </row>
    <row r="9" spans="1:12">
      <c r="A9" s="215"/>
      <c r="B9" s="214" t="s">
        <v>68</v>
      </c>
      <c r="C9" s="31" t="s">
        <v>231</v>
      </c>
      <c r="D9" s="31" t="s">
        <v>232</v>
      </c>
      <c r="E9" s="31" t="s">
        <v>224</v>
      </c>
      <c r="F9" s="31" t="s">
        <v>225</v>
      </c>
      <c r="G9" s="32">
        <v>11059.2</v>
      </c>
      <c r="H9" s="32">
        <f t="shared" si="0"/>
        <v>132710.40000000002</v>
      </c>
      <c r="I9" s="31" t="s">
        <v>226</v>
      </c>
      <c r="J9" s="33" t="e">
        <f>0.12*128*24*30*I9</f>
        <v>#VALUE!</v>
      </c>
      <c r="K9" s="32" t="e">
        <f t="shared" ref="K9:K18" si="1">J9*12</f>
        <v>#VALUE!</v>
      </c>
      <c r="L9" s="221"/>
    </row>
    <row r="10" spans="1:12">
      <c r="A10" s="215"/>
      <c r="B10" s="216"/>
      <c r="C10" s="31" t="s">
        <v>233</v>
      </c>
      <c r="D10" s="31" t="s">
        <v>234</v>
      </c>
      <c r="E10" s="31" t="s">
        <v>224</v>
      </c>
      <c r="F10" s="31" t="s">
        <v>225</v>
      </c>
      <c r="G10" s="32">
        <v>11980.8</v>
      </c>
      <c r="H10" s="32">
        <f t="shared" si="0"/>
        <v>143769.59999999998</v>
      </c>
      <c r="I10" s="31" t="s">
        <v>226</v>
      </c>
      <c r="J10" s="33" t="e">
        <f>0.13*128*24*30*I10</f>
        <v>#VALUE!</v>
      </c>
      <c r="K10" s="32" t="e">
        <f t="shared" si="1"/>
        <v>#VALUE!</v>
      </c>
      <c r="L10" s="221"/>
    </row>
    <row r="11" spans="1:12">
      <c r="A11" s="215"/>
      <c r="B11" s="31" t="s">
        <v>15</v>
      </c>
      <c r="C11" s="31" t="s">
        <v>235</v>
      </c>
      <c r="D11" s="31" t="s">
        <v>236</v>
      </c>
      <c r="E11" s="31" t="s">
        <v>224</v>
      </c>
      <c r="F11" s="31" t="s">
        <v>225</v>
      </c>
      <c r="G11" s="32">
        <v>5760</v>
      </c>
      <c r="H11" s="32">
        <f t="shared" si="0"/>
        <v>69120</v>
      </c>
      <c r="I11" s="31" t="s">
        <v>226</v>
      </c>
      <c r="J11" s="33" t="e">
        <f t="shared" ref="J11:J16" si="2">2*4*24*30*I11</f>
        <v>#VALUE!</v>
      </c>
      <c r="K11" s="32" t="e">
        <f t="shared" si="1"/>
        <v>#VALUE!</v>
      </c>
      <c r="L11" s="221"/>
    </row>
    <row r="12" spans="1:12" ht="27.45">
      <c r="A12" s="215"/>
      <c r="B12" s="30" t="s">
        <v>88</v>
      </c>
      <c r="C12" s="31" t="s">
        <v>237</v>
      </c>
      <c r="D12" s="31" t="s">
        <v>238</v>
      </c>
      <c r="E12" s="31" t="s">
        <v>224</v>
      </c>
      <c r="F12" s="31" t="s">
        <v>225</v>
      </c>
      <c r="G12" s="32">
        <v>5760</v>
      </c>
      <c r="H12" s="32">
        <f t="shared" si="0"/>
        <v>69120</v>
      </c>
      <c r="I12" s="31" t="s">
        <v>226</v>
      </c>
      <c r="J12" s="33" t="e">
        <f t="shared" si="2"/>
        <v>#VALUE!</v>
      </c>
      <c r="K12" s="32" t="e">
        <f t="shared" si="1"/>
        <v>#VALUE!</v>
      </c>
      <c r="L12" s="221"/>
    </row>
    <row r="13" spans="1:12">
      <c r="A13" s="215"/>
      <c r="B13" s="31" t="s">
        <v>15</v>
      </c>
      <c r="C13" s="31" t="s">
        <v>239</v>
      </c>
      <c r="D13" s="31" t="s">
        <v>240</v>
      </c>
      <c r="E13" s="31" t="s">
        <v>224</v>
      </c>
      <c r="F13" s="31" t="s">
        <v>225</v>
      </c>
      <c r="G13" s="32">
        <v>5760</v>
      </c>
      <c r="H13" s="32">
        <f t="shared" si="0"/>
        <v>69120</v>
      </c>
      <c r="I13" s="31" t="s">
        <v>226</v>
      </c>
      <c r="J13" s="33" t="e">
        <f t="shared" si="2"/>
        <v>#VALUE!</v>
      </c>
      <c r="K13" s="32" t="e">
        <f t="shared" si="1"/>
        <v>#VALUE!</v>
      </c>
      <c r="L13" s="221"/>
    </row>
    <row r="14" spans="1:12">
      <c r="A14" s="215"/>
      <c r="B14" s="31" t="s">
        <v>27</v>
      </c>
      <c r="C14" s="31" t="s">
        <v>241</v>
      </c>
      <c r="D14" s="31" t="s">
        <v>242</v>
      </c>
      <c r="E14" s="31" t="s">
        <v>224</v>
      </c>
      <c r="F14" s="31" t="s">
        <v>225</v>
      </c>
      <c r="G14" s="32">
        <v>5760</v>
      </c>
      <c r="H14" s="32">
        <f t="shared" si="0"/>
        <v>69120</v>
      </c>
      <c r="I14" s="31" t="s">
        <v>226</v>
      </c>
      <c r="J14" s="33" t="e">
        <f t="shared" si="2"/>
        <v>#VALUE!</v>
      </c>
      <c r="K14" s="32" t="e">
        <f t="shared" si="1"/>
        <v>#VALUE!</v>
      </c>
      <c r="L14" s="221"/>
    </row>
    <row r="15" spans="1:12">
      <c r="A15" s="215"/>
      <c r="B15" s="218" t="s">
        <v>65</v>
      </c>
      <c r="C15" s="34" t="s">
        <v>243</v>
      </c>
      <c r="D15" s="34" t="s">
        <v>244</v>
      </c>
      <c r="E15" s="34" t="s">
        <v>224</v>
      </c>
      <c r="F15" s="34" t="s">
        <v>225</v>
      </c>
      <c r="G15" s="35">
        <v>20736</v>
      </c>
      <c r="H15" s="35">
        <f t="shared" si="0"/>
        <v>248832</v>
      </c>
      <c r="I15" s="34" t="s">
        <v>226</v>
      </c>
      <c r="J15" s="36" t="e">
        <f t="shared" si="2"/>
        <v>#VALUE!</v>
      </c>
      <c r="K15" s="35" t="e">
        <f t="shared" ref="K15:K16" si="3">J15*12</f>
        <v>#VALUE!</v>
      </c>
      <c r="L15" s="221"/>
    </row>
    <row r="16" spans="1:12">
      <c r="A16" s="216"/>
      <c r="B16" s="219"/>
      <c r="C16" s="34" t="s">
        <v>245</v>
      </c>
      <c r="D16" s="37" t="s">
        <v>246</v>
      </c>
      <c r="E16" s="34" t="s">
        <v>224</v>
      </c>
      <c r="F16" s="34" t="s">
        <v>225</v>
      </c>
      <c r="G16" s="35">
        <v>20736</v>
      </c>
      <c r="H16" s="35">
        <f t="shared" si="0"/>
        <v>248832</v>
      </c>
      <c r="I16" s="34" t="s">
        <v>226</v>
      </c>
      <c r="J16" s="36" t="e">
        <f t="shared" si="2"/>
        <v>#VALUE!</v>
      </c>
      <c r="K16" s="35" t="e">
        <f t="shared" si="3"/>
        <v>#VALUE!</v>
      </c>
      <c r="L16" s="222"/>
    </row>
    <row r="17" spans="1:12" ht="42.45">
      <c r="A17" s="217" t="s">
        <v>247</v>
      </c>
      <c r="B17" s="38" t="s">
        <v>248</v>
      </c>
      <c r="C17" s="31" t="s">
        <v>249</v>
      </c>
      <c r="D17" s="31" t="s">
        <v>250</v>
      </c>
      <c r="E17" s="31" t="s">
        <v>224</v>
      </c>
      <c r="F17" s="31" t="s">
        <v>251</v>
      </c>
      <c r="G17" s="32">
        <v>80</v>
      </c>
      <c r="H17" s="32">
        <v>960</v>
      </c>
      <c r="I17" s="31" t="s">
        <v>226</v>
      </c>
      <c r="J17" s="33" t="e">
        <f>80*I17</f>
        <v>#VALUE!</v>
      </c>
      <c r="K17" s="32" t="e">
        <f t="shared" si="1"/>
        <v>#VALUE!</v>
      </c>
      <c r="L17" s="39" t="s">
        <v>252</v>
      </c>
    </row>
    <row r="18" spans="1:12">
      <c r="A18" s="217"/>
      <c r="B18" s="38" t="s">
        <v>248</v>
      </c>
      <c r="C18" s="31" t="s">
        <v>253</v>
      </c>
      <c r="D18" s="31" t="s">
        <v>250</v>
      </c>
      <c r="E18" s="31" t="s">
        <v>224</v>
      </c>
      <c r="F18" s="31" t="s">
        <v>251</v>
      </c>
      <c r="G18" s="32">
        <v>300</v>
      </c>
      <c r="H18" s="32">
        <v>3600</v>
      </c>
      <c r="I18" s="31" t="s">
        <v>226</v>
      </c>
      <c r="J18" s="33" t="e">
        <f>300*I18</f>
        <v>#VALUE!</v>
      </c>
      <c r="K18" s="32" t="e">
        <f t="shared" si="1"/>
        <v>#VALUE!</v>
      </c>
      <c r="L18" s="40"/>
    </row>
    <row r="19" spans="1:12">
      <c r="A19" s="217"/>
      <c r="B19" s="38" t="s">
        <v>248</v>
      </c>
      <c r="C19" s="31" t="s">
        <v>254</v>
      </c>
      <c r="D19" s="31" t="s">
        <v>255</v>
      </c>
      <c r="E19" s="31" t="s">
        <v>224</v>
      </c>
      <c r="F19" s="31" t="s">
        <v>251</v>
      </c>
      <c r="G19" s="32">
        <v>5080</v>
      </c>
      <c r="H19" s="32">
        <v>5960</v>
      </c>
      <c r="I19" s="31" t="s">
        <v>226</v>
      </c>
      <c r="J19" s="33" t="e">
        <f>80*I19+5000*ROUNDUP(I19/100,0)</f>
        <v>#VALUE!</v>
      </c>
      <c r="K19" s="32" t="e">
        <f>80*12*I19+5000*ROUNDUP(I19/100,0)</f>
        <v>#VALUE!</v>
      </c>
      <c r="L19" s="40"/>
    </row>
    <row r="20" spans="1:12">
      <c r="A20" s="217"/>
      <c r="B20" s="38" t="s">
        <v>248</v>
      </c>
      <c r="C20" s="31" t="s">
        <v>256</v>
      </c>
      <c r="D20" s="31" t="s">
        <v>257</v>
      </c>
      <c r="E20" s="31" t="s">
        <v>258</v>
      </c>
      <c r="F20" s="31" t="s">
        <v>248</v>
      </c>
      <c r="G20" s="32">
        <v>0</v>
      </c>
      <c r="H20" s="32">
        <v>0</v>
      </c>
      <c r="I20" s="31" t="s">
        <v>226</v>
      </c>
      <c r="J20" s="33">
        <v>0</v>
      </c>
      <c r="K20" s="32">
        <v>0</v>
      </c>
      <c r="L20" s="40"/>
    </row>
    <row r="21" spans="1:12">
      <c r="A21" s="217"/>
      <c r="B21" s="38" t="s">
        <v>248</v>
      </c>
      <c r="C21" s="31" t="s">
        <v>259</v>
      </c>
      <c r="D21" s="31" t="s">
        <v>260</v>
      </c>
      <c r="E21" s="31" t="s">
        <v>261</v>
      </c>
      <c r="F21" s="31" t="s">
        <v>262</v>
      </c>
      <c r="G21" s="32" t="s">
        <v>248</v>
      </c>
      <c r="H21" s="32">
        <v>1500</v>
      </c>
      <c r="I21" s="31" t="s">
        <v>226</v>
      </c>
      <c r="J21" s="33" t="s">
        <v>248</v>
      </c>
      <c r="K21" s="32" t="e">
        <f>1500*I21</f>
        <v>#VALUE!</v>
      </c>
      <c r="L21" s="40"/>
    </row>
    <row r="22" spans="1:12">
      <c r="A22" s="217"/>
      <c r="B22" s="38" t="s">
        <v>248</v>
      </c>
      <c r="C22" s="31" t="s">
        <v>169</v>
      </c>
      <c r="D22" s="31" t="s">
        <v>170</v>
      </c>
      <c r="E22" s="31" t="s">
        <v>261</v>
      </c>
      <c r="F22" s="31" t="s">
        <v>262</v>
      </c>
      <c r="G22" s="32" t="s">
        <v>248</v>
      </c>
      <c r="H22" s="32" t="s">
        <v>171</v>
      </c>
      <c r="I22" s="31" t="s">
        <v>226</v>
      </c>
      <c r="J22" s="33" t="s">
        <v>248</v>
      </c>
      <c r="K22" s="32" t="s">
        <v>171</v>
      </c>
      <c r="L22" s="40"/>
    </row>
    <row r="23" spans="1:12">
      <c r="A23" s="31" t="s">
        <v>263</v>
      </c>
      <c r="B23" s="41" t="s">
        <v>248</v>
      </c>
      <c r="C23" s="31" t="s">
        <v>264</v>
      </c>
      <c r="D23" s="31" t="s">
        <v>265</v>
      </c>
      <c r="E23" s="31" t="s">
        <v>266</v>
      </c>
      <c r="F23" s="31" t="s">
        <v>267</v>
      </c>
      <c r="G23" s="32">
        <v>2000</v>
      </c>
      <c r="H23" s="32">
        <v>2000</v>
      </c>
      <c r="I23" s="31" t="s">
        <v>226</v>
      </c>
      <c r="J23" s="33" t="e">
        <f>2000*I23</f>
        <v>#VALUE!</v>
      </c>
      <c r="K23" s="32" t="e">
        <f>2000*I23</f>
        <v>#VALUE!</v>
      </c>
      <c r="L23" s="40"/>
    </row>
    <row r="24" spans="1:12">
      <c r="A24" s="31" t="s">
        <v>268</v>
      </c>
      <c r="B24" s="41" t="s">
        <v>248</v>
      </c>
      <c r="C24" s="31" t="s">
        <v>269</v>
      </c>
      <c r="D24" s="31" t="s">
        <v>270</v>
      </c>
      <c r="E24" s="31" t="s">
        <v>271</v>
      </c>
      <c r="F24" s="31" t="s">
        <v>272</v>
      </c>
      <c r="G24" s="32">
        <v>300</v>
      </c>
      <c r="H24" s="32">
        <v>300</v>
      </c>
      <c r="I24" s="31" t="s">
        <v>226</v>
      </c>
      <c r="J24" s="33" t="e">
        <f>300*I24</f>
        <v>#VALUE!</v>
      </c>
      <c r="K24" s="32" t="e">
        <f>300*I24</f>
        <v>#VALUE!</v>
      </c>
      <c r="L24" s="40"/>
    </row>
    <row r="25" spans="1:12" ht="38.049999999999997" customHeight="1">
      <c r="A25" s="213" t="s">
        <v>273</v>
      </c>
      <c r="B25" s="213"/>
      <c r="C25" s="213"/>
      <c r="D25" s="213"/>
      <c r="E25" s="213"/>
      <c r="F25" s="213"/>
      <c r="G25" s="213"/>
      <c r="H25" s="213"/>
      <c r="I25" s="213"/>
      <c r="J25" s="42" t="e">
        <f>SUM(J6:J24)</f>
        <v>#VALUE!</v>
      </c>
      <c r="K25" s="42" t="e">
        <f>SUM(K6:K24)</f>
        <v>#VALUE!</v>
      </c>
      <c r="L25" s="43"/>
    </row>
    <row r="26" spans="1:12" ht="31.3" customHeight="1">
      <c r="A26" s="213" t="s">
        <v>274</v>
      </c>
      <c r="B26" s="213"/>
      <c r="C26" s="213"/>
      <c r="D26" s="213"/>
      <c r="E26" s="213"/>
      <c r="F26" s="213"/>
      <c r="G26" s="213"/>
      <c r="H26" s="213"/>
      <c r="I26" s="213"/>
      <c r="J26" s="42" t="e">
        <f>J25/1.06</f>
        <v>#VALUE!</v>
      </c>
      <c r="K26" s="42" t="e">
        <f>K25/1.06</f>
        <v>#VALUE!</v>
      </c>
      <c r="L26" s="43"/>
    </row>
  </sheetData>
  <mergeCells count="14">
    <mergeCell ref="A1:L1"/>
    <mergeCell ref="C2:D2"/>
    <mergeCell ref="F2:L2"/>
    <mergeCell ref="C3:D3"/>
    <mergeCell ref="F3:L3"/>
    <mergeCell ref="C4:D4"/>
    <mergeCell ref="F4:L4"/>
    <mergeCell ref="A25:I25"/>
    <mergeCell ref="A26:I26"/>
    <mergeCell ref="A6:A16"/>
    <mergeCell ref="A17:A22"/>
    <mergeCell ref="B9:B10"/>
    <mergeCell ref="B15:B16"/>
    <mergeCell ref="L6:L16"/>
  </mergeCells>
  <phoneticPr fontId="28" type="noConversion"/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9"/>
  <sheetViews>
    <sheetView zoomScale="70" zoomScaleNormal="70" workbookViewId="0">
      <selection activeCell="A2" sqref="A2:O4"/>
    </sheetView>
  </sheetViews>
  <sheetFormatPr defaultColWidth="8.7109375" defaultRowHeight="14.15"/>
  <cols>
    <col min="1" max="1" width="16.640625" style="1" customWidth="1"/>
    <col min="2" max="2" width="18.7109375" style="1" customWidth="1"/>
    <col min="3" max="3" width="15.42578125" style="1" customWidth="1"/>
    <col min="4" max="4" width="5.140625" style="1" customWidth="1"/>
    <col min="5" max="5" width="55.7109375" style="1" customWidth="1"/>
    <col min="6" max="6" width="15" style="2" customWidth="1"/>
    <col min="7" max="7" width="16.35546875" style="2" customWidth="1"/>
    <col min="8" max="8" width="17.85546875" style="1" customWidth="1"/>
    <col min="9" max="9" width="16.85546875" style="3" customWidth="1"/>
    <col min="10" max="10" width="13.140625" style="3" customWidth="1"/>
    <col min="11" max="11" width="15.140625" style="1" customWidth="1"/>
    <col min="12" max="12" width="19.42578125" style="3" customWidth="1"/>
    <col min="13" max="13" width="23.640625" style="1" customWidth="1"/>
    <col min="14" max="14" width="13" style="1" customWidth="1"/>
    <col min="15" max="15" width="13.140625" style="1" customWidth="1"/>
    <col min="16" max="18" width="8.7109375" style="4"/>
    <col min="19" max="19" width="12.42578125" style="3" customWidth="1"/>
    <col min="20" max="16384" width="8.7109375" style="3"/>
  </cols>
  <sheetData>
    <row r="1" spans="1:15" ht="23.05" customHeight="1">
      <c r="F1" s="5"/>
      <c r="G1" s="5"/>
    </row>
    <row r="2" spans="1:15" ht="14.25" customHeight="1">
      <c r="A2" s="227" t="s">
        <v>275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</row>
    <row r="3" spans="1:15" ht="14.2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</row>
    <row r="4" spans="1:15" ht="12.55" customHeight="1">
      <c r="A4" s="227"/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</row>
    <row r="5" spans="1:15" ht="27" customHeight="1">
      <c r="A5" s="245" t="s">
        <v>141</v>
      </c>
      <c r="B5" s="245" t="s">
        <v>142</v>
      </c>
      <c r="C5" s="245" t="s">
        <v>215</v>
      </c>
      <c r="D5" s="245" t="s">
        <v>218</v>
      </c>
      <c r="E5" s="245" t="s">
        <v>276</v>
      </c>
      <c r="F5" s="228" t="s">
        <v>277</v>
      </c>
      <c r="G5" s="228" t="s">
        <v>278</v>
      </c>
      <c r="H5" s="228" t="s">
        <v>279</v>
      </c>
      <c r="I5" s="228" t="s">
        <v>280</v>
      </c>
      <c r="J5" s="228" t="s">
        <v>281</v>
      </c>
      <c r="K5" s="228" t="s">
        <v>282</v>
      </c>
      <c r="L5" s="237" t="s">
        <v>283</v>
      </c>
      <c r="M5" s="238"/>
      <c r="N5" s="238"/>
      <c r="O5" s="239"/>
    </row>
    <row r="6" spans="1:15" ht="83.05" customHeight="1">
      <c r="A6" s="246"/>
      <c r="B6" s="246"/>
      <c r="C6" s="246"/>
      <c r="D6" s="246"/>
      <c r="E6" s="246"/>
      <c r="F6" s="229"/>
      <c r="G6" s="229"/>
      <c r="H6" s="229"/>
      <c r="I6" s="229"/>
      <c r="J6" s="229"/>
      <c r="K6" s="229"/>
      <c r="L6" s="8" t="s">
        <v>284</v>
      </c>
      <c r="M6" s="8" t="s">
        <v>285</v>
      </c>
      <c r="N6" s="8" t="s">
        <v>286</v>
      </c>
      <c r="O6" s="9" t="s">
        <v>12</v>
      </c>
    </row>
    <row r="7" spans="1:15" ht="29.05" customHeight="1">
      <c r="A7" s="10" t="s">
        <v>287</v>
      </c>
      <c r="B7" s="10" t="s">
        <v>288</v>
      </c>
      <c r="C7" s="10" t="s">
        <v>225</v>
      </c>
      <c r="D7" s="10">
        <v>1</v>
      </c>
      <c r="E7" s="10" t="s">
        <v>289</v>
      </c>
      <c r="F7" s="11">
        <v>253.583333333333</v>
      </c>
      <c r="G7" s="11">
        <v>3043</v>
      </c>
      <c r="H7" s="11">
        <v>659.31666666666604</v>
      </c>
      <c r="I7" s="11">
        <v>7120.6199999999899</v>
      </c>
      <c r="J7" s="11">
        <v>1521.5</v>
      </c>
      <c r="K7" s="12">
        <v>16432.2</v>
      </c>
      <c r="L7" s="8" t="s">
        <v>290</v>
      </c>
      <c r="M7" s="12" t="e">
        <v>#VALUE!</v>
      </c>
      <c r="N7" s="12" t="e">
        <v>#VALUE!</v>
      </c>
      <c r="O7" s="234" t="s">
        <v>291</v>
      </c>
    </row>
    <row r="8" spans="1:15" ht="28.3">
      <c r="A8" s="10" t="s">
        <v>292</v>
      </c>
      <c r="B8" s="10" t="s">
        <v>288</v>
      </c>
      <c r="C8" s="10" t="s">
        <v>225</v>
      </c>
      <c r="D8" s="10">
        <v>1</v>
      </c>
      <c r="E8" s="10" t="s">
        <v>293</v>
      </c>
      <c r="F8" s="11">
        <v>399.86666666666702</v>
      </c>
      <c r="G8" s="11">
        <v>4798.3999999999996</v>
      </c>
      <c r="H8" s="11">
        <v>799.73333333333403</v>
      </c>
      <c r="I8" s="11">
        <v>8637.1200000000099</v>
      </c>
      <c r="J8" s="11">
        <v>1639.45333333333</v>
      </c>
      <c r="K8" s="12">
        <v>17706.096000000001</v>
      </c>
      <c r="L8" s="8" t="s">
        <v>290</v>
      </c>
      <c r="M8" s="12" t="e">
        <v>#VALUE!</v>
      </c>
      <c r="N8" s="12" t="e">
        <v>#VALUE!</v>
      </c>
      <c r="O8" s="235"/>
    </row>
    <row r="9" spans="1:15" ht="28.3">
      <c r="A9" s="10" t="s">
        <v>294</v>
      </c>
      <c r="B9" s="10" t="s">
        <v>288</v>
      </c>
      <c r="C9" s="10" t="s">
        <v>225</v>
      </c>
      <c r="D9" s="10">
        <v>1</v>
      </c>
      <c r="E9" s="10" t="s">
        <v>295</v>
      </c>
      <c r="F9" s="11">
        <v>507.16666666666703</v>
      </c>
      <c r="G9" s="11">
        <v>6086</v>
      </c>
      <c r="H9" s="11">
        <v>963.61666666666702</v>
      </c>
      <c r="I9" s="11">
        <v>10407.06</v>
      </c>
      <c r="J9" s="11">
        <v>1775.0833333333301</v>
      </c>
      <c r="K9" s="12">
        <v>19170.900000000001</v>
      </c>
      <c r="L9" s="8" t="s">
        <v>290</v>
      </c>
      <c r="M9" s="12" t="e">
        <v>#VALUE!</v>
      </c>
      <c r="N9" s="12" t="e">
        <v>#VALUE!</v>
      </c>
      <c r="O9" s="235"/>
    </row>
    <row r="10" spans="1:15" ht="28.3">
      <c r="A10" s="10" t="s">
        <v>296</v>
      </c>
      <c r="B10" s="10" t="s">
        <v>288</v>
      </c>
      <c r="C10" s="10" t="s">
        <v>225</v>
      </c>
      <c r="D10" s="10">
        <v>1</v>
      </c>
      <c r="E10" s="10" t="s">
        <v>297</v>
      </c>
      <c r="F10" s="11">
        <v>799.73333333333301</v>
      </c>
      <c r="G10" s="11">
        <v>9596.7999999999993</v>
      </c>
      <c r="H10" s="11">
        <v>1239.58666666667</v>
      </c>
      <c r="I10" s="11">
        <v>13387.536</v>
      </c>
      <c r="J10" s="11">
        <v>2079.30666666667</v>
      </c>
      <c r="K10" s="12">
        <v>22456.511999999999</v>
      </c>
      <c r="L10" s="8" t="s">
        <v>290</v>
      </c>
      <c r="M10" s="12" t="e">
        <v>#VALUE!</v>
      </c>
      <c r="N10" s="12" t="e">
        <v>#VALUE!</v>
      </c>
      <c r="O10" s="235"/>
    </row>
    <row r="11" spans="1:15" ht="28.3">
      <c r="A11" s="10" t="s">
        <v>298</v>
      </c>
      <c r="B11" s="10" t="s">
        <v>288</v>
      </c>
      <c r="C11" s="10" t="s">
        <v>225</v>
      </c>
      <c r="D11" s="10">
        <v>1</v>
      </c>
      <c r="E11" s="10" t="s">
        <v>299</v>
      </c>
      <c r="F11" s="11">
        <v>1014.33333333333</v>
      </c>
      <c r="G11" s="11">
        <v>12172</v>
      </c>
      <c r="H11" s="11">
        <v>1572.2166666666601</v>
      </c>
      <c r="I11" s="11">
        <v>16979.9399999999</v>
      </c>
      <c r="J11" s="11">
        <v>2535.8333333333198</v>
      </c>
      <c r="K11" s="12">
        <v>27386.999999999902</v>
      </c>
      <c r="L11" s="8" t="s">
        <v>290</v>
      </c>
      <c r="M11" s="12" t="e">
        <v>#VALUE!</v>
      </c>
      <c r="N11" s="12" t="e">
        <v>#VALUE!</v>
      </c>
      <c r="O11" s="235"/>
    </row>
    <row r="12" spans="1:15" ht="28.3">
      <c r="A12" s="10" t="s">
        <v>300</v>
      </c>
      <c r="B12" s="10" t="s">
        <v>288</v>
      </c>
      <c r="C12" s="10" t="s">
        <v>225</v>
      </c>
      <c r="D12" s="10">
        <v>1</v>
      </c>
      <c r="E12" s="10" t="s">
        <v>301</v>
      </c>
      <c r="F12" s="11">
        <v>1599.4666666666701</v>
      </c>
      <c r="G12" s="11">
        <v>19193.599999999999</v>
      </c>
      <c r="H12" s="11">
        <v>2223.2586666666698</v>
      </c>
      <c r="I12" s="11">
        <v>24011.193599999999</v>
      </c>
      <c r="J12" s="11">
        <v>3198.9333333333402</v>
      </c>
      <c r="K12" s="12">
        <v>34548.480000000098</v>
      </c>
      <c r="L12" s="8" t="s">
        <v>290</v>
      </c>
      <c r="M12" s="12" t="e">
        <v>#VALUE!</v>
      </c>
      <c r="N12" s="12" t="e">
        <v>#VALUE!</v>
      </c>
      <c r="O12" s="235"/>
    </row>
    <row r="13" spans="1:15" ht="28.3">
      <c r="A13" s="10" t="s">
        <v>302</v>
      </c>
      <c r="B13" s="10" t="s">
        <v>288</v>
      </c>
      <c r="C13" s="10" t="s">
        <v>225</v>
      </c>
      <c r="D13" s="10">
        <v>1</v>
      </c>
      <c r="E13" s="10" t="s">
        <v>303</v>
      </c>
      <c r="F13" s="11">
        <v>1915.9</v>
      </c>
      <c r="G13" s="11">
        <v>22990.799999999999</v>
      </c>
      <c r="H13" s="11">
        <v>3065.44</v>
      </c>
      <c r="I13" s="11">
        <v>33106.752</v>
      </c>
      <c r="J13" s="11">
        <v>3831.8</v>
      </c>
      <c r="K13" s="12">
        <v>41383.440000000002</v>
      </c>
      <c r="L13" s="8" t="s">
        <v>290</v>
      </c>
      <c r="M13" s="12" t="e">
        <v>#VALUE!</v>
      </c>
      <c r="N13" s="12" t="e">
        <v>#VALUE!</v>
      </c>
      <c r="O13" s="235"/>
    </row>
    <row r="14" spans="1:15" ht="28.3">
      <c r="A14" s="10" t="s">
        <v>304</v>
      </c>
      <c r="B14" s="10" t="s">
        <v>288</v>
      </c>
      <c r="C14" s="10" t="s">
        <v>225</v>
      </c>
      <c r="D14" s="10">
        <v>1</v>
      </c>
      <c r="E14" s="10" t="s">
        <v>305</v>
      </c>
      <c r="F14" s="11">
        <v>3157</v>
      </c>
      <c r="G14" s="11">
        <v>38364</v>
      </c>
      <c r="H14" s="11">
        <v>3725.26</v>
      </c>
      <c r="I14" s="11">
        <v>40232.807999999997</v>
      </c>
      <c r="J14" s="11">
        <v>4419.8</v>
      </c>
      <c r="K14" s="12">
        <v>47733.84</v>
      </c>
      <c r="L14" s="8" t="s">
        <v>290</v>
      </c>
      <c r="M14" s="12" t="e">
        <v>#VALUE!</v>
      </c>
      <c r="N14" s="12" t="e">
        <v>#VALUE!</v>
      </c>
      <c r="O14" s="235"/>
    </row>
    <row r="15" spans="1:15" ht="28.3">
      <c r="A15" s="10" t="s">
        <v>306</v>
      </c>
      <c r="B15" s="10" t="s">
        <v>288</v>
      </c>
      <c r="C15" s="10" t="s">
        <v>225</v>
      </c>
      <c r="D15" s="10">
        <v>1</v>
      </c>
      <c r="E15" s="10" t="s">
        <v>307</v>
      </c>
      <c r="F15" s="11">
        <v>3831.8</v>
      </c>
      <c r="G15" s="11">
        <v>45981.599999999999</v>
      </c>
      <c r="H15" s="11">
        <v>4521.5240000000003</v>
      </c>
      <c r="I15" s="11">
        <v>48832.459199999998</v>
      </c>
      <c r="J15" s="11">
        <v>5364.52</v>
      </c>
      <c r="K15" s="12">
        <v>57936.815999999999</v>
      </c>
      <c r="L15" s="8" t="s">
        <v>290</v>
      </c>
      <c r="M15" s="12" t="e">
        <v>#VALUE!</v>
      </c>
      <c r="N15" s="12" t="e">
        <v>#VALUE!</v>
      </c>
      <c r="O15" s="235"/>
    </row>
    <row r="16" spans="1:15" ht="28.3">
      <c r="A16" s="10" t="s">
        <v>308</v>
      </c>
      <c r="B16" s="10" t="s">
        <v>288</v>
      </c>
      <c r="C16" s="10" t="s">
        <v>225</v>
      </c>
      <c r="D16" s="10">
        <v>1</v>
      </c>
      <c r="E16" s="10" t="s">
        <v>309</v>
      </c>
      <c r="F16" s="11">
        <v>5438.2</v>
      </c>
      <c r="G16" s="11">
        <v>58732.56</v>
      </c>
      <c r="H16" s="11">
        <v>6090.7839999999997</v>
      </c>
      <c r="I16" s="11">
        <v>65780.467199999999</v>
      </c>
      <c r="J16" s="11">
        <v>6852.1319999999996</v>
      </c>
      <c r="K16" s="12">
        <v>74003.025599999994</v>
      </c>
      <c r="L16" s="8" t="s">
        <v>290</v>
      </c>
      <c r="M16" s="12" t="e">
        <v>#VALUE!</v>
      </c>
      <c r="N16" s="12" t="e">
        <v>#VALUE!</v>
      </c>
      <c r="O16" s="235"/>
    </row>
    <row r="17" spans="1:16" ht="28.3">
      <c r="A17" s="10" t="s">
        <v>310</v>
      </c>
      <c r="B17" s="10" t="s">
        <v>288</v>
      </c>
      <c r="C17" s="10" t="s">
        <v>225</v>
      </c>
      <c r="D17" s="10">
        <v>1</v>
      </c>
      <c r="E17" s="10" t="s">
        <v>311</v>
      </c>
      <c r="F17" s="11">
        <v>6394</v>
      </c>
      <c r="G17" s="11">
        <v>76728</v>
      </c>
      <c r="H17" s="11">
        <v>7161.28</v>
      </c>
      <c r="I17" s="11">
        <v>77341.823999999993</v>
      </c>
      <c r="J17" s="11">
        <v>7864.62</v>
      </c>
      <c r="K17" s="12">
        <v>84937.895999999993</v>
      </c>
      <c r="L17" s="8" t="s">
        <v>290</v>
      </c>
      <c r="M17" s="12" t="e">
        <v>#VALUE!</v>
      </c>
      <c r="N17" s="12" t="e">
        <v>#VALUE!</v>
      </c>
      <c r="O17" s="235"/>
    </row>
    <row r="18" spans="1:16" ht="28.3">
      <c r="A18" s="10" t="s">
        <v>312</v>
      </c>
      <c r="B18" s="10" t="s">
        <v>288</v>
      </c>
      <c r="C18" s="10" t="s">
        <v>225</v>
      </c>
      <c r="D18" s="10">
        <v>1</v>
      </c>
      <c r="E18" s="10" t="s">
        <v>313</v>
      </c>
      <c r="F18" s="11">
        <v>8513.5</v>
      </c>
      <c r="G18" s="11">
        <v>91945.8</v>
      </c>
      <c r="H18" s="11">
        <v>8697.2000000000007</v>
      </c>
      <c r="I18" s="11">
        <v>93929.76</v>
      </c>
      <c r="J18" s="11">
        <v>9497.2000000000007</v>
      </c>
      <c r="K18" s="12">
        <v>102569.76</v>
      </c>
      <c r="L18" s="8" t="s">
        <v>290</v>
      </c>
      <c r="M18" s="12" t="e">
        <v>#VALUE!</v>
      </c>
      <c r="N18" s="12" t="e">
        <v>#VALUE!</v>
      </c>
      <c r="O18" s="235"/>
    </row>
    <row r="19" spans="1:16" ht="28.3">
      <c r="A19" s="10" t="s">
        <v>314</v>
      </c>
      <c r="B19" s="10" t="s">
        <v>288</v>
      </c>
      <c r="C19" s="10" t="s">
        <v>225</v>
      </c>
      <c r="D19" s="10">
        <v>1</v>
      </c>
      <c r="E19" s="10" t="s">
        <v>315</v>
      </c>
      <c r="F19" s="11">
        <v>12263.2</v>
      </c>
      <c r="G19" s="11">
        <v>132442.56</v>
      </c>
      <c r="H19" s="11">
        <v>12447.2</v>
      </c>
      <c r="I19" s="11">
        <v>134429.76000000001</v>
      </c>
      <c r="J19" s="11">
        <v>13247.2</v>
      </c>
      <c r="K19" s="12">
        <v>143069.76000000001</v>
      </c>
      <c r="L19" s="8" t="s">
        <v>290</v>
      </c>
      <c r="M19" s="12" t="e">
        <v>#VALUE!</v>
      </c>
      <c r="N19" s="12" t="e">
        <v>#VALUE!</v>
      </c>
      <c r="O19" s="235"/>
    </row>
    <row r="20" spans="1:16" ht="29.05" customHeight="1">
      <c r="A20" s="10" t="s">
        <v>316</v>
      </c>
      <c r="B20" s="10" t="s">
        <v>147</v>
      </c>
      <c r="C20" s="10" t="s">
        <v>225</v>
      </c>
      <c r="D20" s="10">
        <v>1</v>
      </c>
      <c r="E20" s="10" t="s">
        <v>289</v>
      </c>
      <c r="F20" s="11">
        <v>258.65499999999997</v>
      </c>
      <c r="G20" s="11">
        <v>3043</v>
      </c>
      <c r="H20" s="11">
        <v>672.50299999999902</v>
      </c>
      <c r="I20" s="11">
        <v>7263.03239999999</v>
      </c>
      <c r="J20" s="11">
        <v>1551.93</v>
      </c>
      <c r="K20" s="12">
        <v>16760.844000000001</v>
      </c>
      <c r="L20" s="8" t="s">
        <v>290</v>
      </c>
      <c r="M20" s="12" t="e">
        <v>#VALUE!</v>
      </c>
      <c r="N20" s="12" t="e">
        <v>#VALUE!</v>
      </c>
      <c r="O20" s="235"/>
      <c r="P20" s="3"/>
    </row>
    <row r="21" spans="1:16" ht="28.3">
      <c r="A21" s="10" t="s">
        <v>317</v>
      </c>
      <c r="B21" s="10" t="s">
        <v>147</v>
      </c>
      <c r="C21" s="10" t="s">
        <v>225</v>
      </c>
      <c r="D21" s="10">
        <v>1</v>
      </c>
      <c r="E21" s="10" t="s">
        <v>293</v>
      </c>
      <c r="F21" s="11">
        <v>407.86399999999998</v>
      </c>
      <c r="G21" s="11">
        <v>4798.3999999999996</v>
      </c>
      <c r="H21" s="11">
        <v>815.72800000000097</v>
      </c>
      <c r="I21" s="11">
        <v>8809.8624000000109</v>
      </c>
      <c r="J21" s="11">
        <v>1672.2424000000001</v>
      </c>
      <c r="K21" s="12">
        <v>18060.217919999999</v>
      </c>
      <c r="L21" s="8" t="s">
        <v>290</v>
      </c>
      <c r="M21" s="12" t="e">
        <v>#VALUE!</v>
      </c>
      <c r="N21" s="12" t="e">
        <v>#VALUE!</v>
      </c>
      <c r="O21" s="235"/>
      <c r="P21" s="3"/>
    </row>
    <row r="22" spans="1:16" ht="28.3">
      <c r="A22" s="10" t="s">
        <v>318</v>
      </c>
      <c r="B22" s="10" t="s">
        <v>147</v>
      </c>
      <c r="C22" s="10" t="s">
        <v>225</v>
      </c>
      <c r="D22" s="10">
        <v>1</v>
      </c>
      <c r="E22" s="10" t="s">
        <v>295</v>
      </c>
      <c r="F22" s="11">
        <v>517.30999999999995</v>
      </c>
      <c r="G22" s="11">
        <v>6086</v>
      </c>
      <c r="H22" s="11">
        <v>982.88900000000103</v>
      </c>
      <c r="I22" s="11">
        <v>10615.2012</v>
      </c>
      <c r="J22" s="11">
        <v>1810.585</v>
      </c>
      <c r="K22" s="12">
        <v>19554.317999999999</v>
      </c>
      <c r="L22" s="8" t="s">
        <v>290</v>
      </c>
      <c r="M22" s="12" t="e">
        <v>#VALUE!</v>
      </c>
      <c r="N22" s="12" t="e">
        <v>#VALUE!</v>
      </c>
      <c r="O22" s="235"/>
      <c r="P22" s="3"/>
    </row>
    <row r="23" spans="1:16" ht="28.3">
      <c r="A23" s="10" t="s">
        <v>319</v>
      </c>
      <c r="B23" s="10" t="s">
        <v>147</v>
      </c>
      <c r="C23" s="10" t="s">
        <v>225</v>
      </c>
      <c r="D23" s="10">
        <v>1</v>
      </c>
      <c r="E23" s="10" t="s">
        <v>297</v>
      </c>
      <c r="F23" s="11">
        <v>815.72799999999995</v>
      </c>
      <c r="G23" s="11">
        <v>9596.7999999999993</v>
      </c>
      <c r="H23" s="11">
        <v>1264.3784000000001</v>
      </c>
      <c r="I23" s="11">
        <v>13655.28672</v>
      </c>
      <c r="J23" s="11">
        <v>2120.8928000000001</v>
      </c>
      <c r="K23" s="12">
        <v>22905.642240000001</v>
      </c>
      <c r="L23" s="8" t="s">
        <v>290</v>
      </c>
      <c r="M23" s="12" t="e">
        <v>#VALUE!</v>
      </c>
      <c r="N23" s="12" t="e">
        <v>#VALUE!</v>
      </c>
      <c r="O23" s="235"/>
      <c r="P23" s="3"/>
    </row>
    <row r="24" spans="1:16" ht="28.3">
      <c r="A24" s="10" t="s">
        <v>320</v>
      </c>
      <c r="B24" s="10" t="s">
        <v>147</v>
      </c>
      <c r="C24" s="10" t="s">
        <v>225</v>
      </c>
      <c r="D24" s="10">
        <v>1</v>
      </c>
      <c r="E24" s="10" t="s">
        <v>299</v>
      </c>
      <c r="F24" s="11">
        <v>1034.6199999999999</v>
      </c>
      <c r="G24" s="11">
        <v>12172</v>
      </c>
      <c r="H24" s="11">
        <v>1603.6609999999901</v>
      </c>
      <c r="I24" s="11">
        <v>17319.5387999999</v>
      </c>
      <c r="J24" s="11">
        <v>2586.5499999999902</v>
      </c>
      <c r="K24" s="12">
        <v>27934.7399999999</v>
      </c>
      <c r="L24" s="8" t="s">
        <v>290</v>
      </c>
      <c r="M24" s="12" t="e">
        <v>#VALUE!</v>
      </c>
      <c r="N24" s="12" t="e">
        <v>#VALUE!</v>
      </c>
      <c r="O24" s="235"/>
      <c r="P24" s="3"/>
    </row>
    <row r="25" spans="1:16" ht="28.3">
      <c r="A25" s="10" t="s">
        <v>321</v>
      </c>
      <c r="B25" s="10" t="s">
        <v>147</v>
      </c>
      <c r="C25" s="10" t="s">
        <v>225</v>
      </c>
      <c r="D25" s="10">
        <v>1</v>
      </c>
      <c r="E25" s="10" t="s">
        <v>301</v>
      </c>
      <c r="F25" s="11">
        <v>1631.4559999999999</v>
      </c>
      <c r="G25" s="11">
        <v>19193.599999999999</v>
      </c>
      <c r="H25" s="11">
        <v>2267.7238400000001</v>
      </c>
      <c r="I25" s="11">
        <v>24491.417472000099</v>
      </c>
      <c r="J25" s="11">
        <v>3262.9120000000098</v>
      </c>
      <c r="K25" s="12">
        <v>35239.449600000102</v>
      </c>
      <c r="L25" s="8" t="s">
        <v>290</v>
      </c>
      <c r="M25" s="12" t="e">
        <v>#VALUE!</v>
      </c>
      <c r="N25" s="12" t="e">
        <v>#VALUE!</v>
      </c>
      <c r="O25" s="235"/>
      <c r="P25" s="3"/>
    </row>
    <row r="26" spans="1:16" ht="28.3">
      <c r="A26" s="10" t="s">
        <v>322</v>
      </c>
      <c r="B26" s="10" t="s">
        <v>147</v>
      </c>
      <c r="C26" s="10" t="s">
        <v>225</v>
      </c>
      <c r="D26" s="10">
        <v>1</v>
      </c>
      <c r="E26" s="10" t="s">
        <v>303</v>
      </c>
      <c r="F26" s="11">
        <v>1954.2180000000001</v>
      </c>
      <c r="G26" s="11">
        <v>22990.799999999999</v>
      </c>
      <c r="H26" s="11">
        <v>3126.7487999999998</v>
      </c>
      <c r="I26" s="11">
        <v>33768.887040000001</v>
      </c>
      <c r="J26" s="11">
        <v>3908.4360000000001</v>
      </c>
      <c r="K26" s="12">
        <v>42211.108800000002</v>
      </c>
      <c r="L26" s="8" t="s">
        <v>290</v>
      </c>
      <c r="M26" s="12" t="e">
        <v>#VALUE!</v>
      </c>
      <c r="N26" s="12" t="e">
        <v>#VALUE!</v>
      </c>
      <c r="O26" s="235"/>
      <c r="P26" s="3"/>
    </row>
    <row r="27" spans="1:16" ht="28.3">
      <c r="A27" s="10" t="s">
        <v>323</v>
      </c>
      <c r="B27" s="10" t="s">
        <v>147</v>
      </c>
      <c r="C27" s="10" t="s">
        <v>225</v>
      </c>
      <c r="D27" s="10">
        <v>1</v>
      </c>
      <c r="E27" s="10" t="s">
        <v>305</v>
      </c>
      <c r="F27" s="11">
        <v>3220.14</v>
      </c>
      <c r="G27" s="11">
        <v>38364</v>
      </c>
      <c r="H27" s="11">
        <v>3799.7651999999998</v>
      </c>
      <c r="I27" s="11">
        <v>41037.464160000003</v>
      </c>
      <c r="J27" s="11">
        <v>4508.1959999999999</v>
      </c>
      <c r="K27" s="12">
        <v>48688.516799999998</v>
      </c>
      <c r="L27" s="8" t="s">
        <v>290</v>
      </c>
      <c r="M27" s="12" t="e">
        <v>#VALUE!</v>
      </c>
      <c r="N27" s="12" t="e">
        <v>#VALUE!</v>
      </c>
      <c r="O27" s="235"/>
      <c r="P27" s="3"/>
    </row>
    <row r="28" spans="1:16" ht="28.3">
      <c r="A28" s="10" t="s">
        <v>324</v>
      </c>
      <c r="B28" s="10" t="s">
        <v>147</v>
      </c>
      <c r="C28" s="10" t="s">
        <v>225</v>
      </c>
      <c r="D28" s="10">
        <v>1</v>
      </c>
      <c r="E28" s="10" t="s">
        <v>307</v>
      </c>
      <c r="F28" s="11">
        <v>3908.4360000000001</v>
      </c>
      <c r="G28" s="11">
        <v>45981.599999999999</v>
      </c>
      <c r="H28" s="11">
        <v>4611.9544800000003</v>
      </c>
      <c r="I28" s="11">
        <v>49809.108383999999</v>
      </c>
      <c r="J28" s="11">
        <v>5471.8104000000003</v>
      </c>
      <c r="K28" s="12">
        <v>59095.552320000003</v>
      </c>
      <c r="L28" s="8" t="s">
        <v>290</v>
      </c>
      <c r="M28" s="12" t="e">
        <v>#VALUE!</v>
      </c>
      <c r="N28" s="12" t="e">
        <v>#VALUE!</v>
      </c>
      <c r="O28" s="235"/>
      <c r="P28" s="3"/>
    </row>
    <row r="29" spans="1:16" ht="28.3">
      <c r="A29" s="10" t="s">
        <v>325</v>
      </c>
      <c r="B29" s="10" t="s">
        <v>147</v>
      </c>
      <c r="C29" s="10" t="s">
        <v>225</v>
      </c>
      <c r="D29" s="10">
        <v>1</v>
      </c>
      <c r="E29" s="10" t="s">
        <v>309</v>
      </c>
      <c r="F29" s="11">
        <v>5546.9639999999999</v>
      </c>
      <c r="G29" s="11">
        <v>59907.211199999998</v>
      </c>
      <c r="H29" s="11">
        <v>6212.5996800000003</v>
      </c>
      <c r="I29" s="11">
        <v>67096.076543999996</v>
      </c>
      <c r="J29" s="11">
        <v>6989.1746400000002</v>
      </c>
      <c r="K29" s="12">
        <v>75483.086112000005</v>
      </c>
      <c r="L29" s="8" t="s">
        <v>290</v>
      </c>
      <c r="M29" s="12" t="e">
        <v>#VALUE!</v>
      </c>
      <c r="N29" s="12" t="e">
        <v>#VALUE!</v>
      </c>
      <c r="O29" s="235"/>
      <c r="P29" s="3"/>
    </row>
    <row r="30" spans="1:16" ht="28.3">
      <c r="A30" s="10" t="s">
        <v>326</v>
      </c>
      <c r="B30" s="10" t="s">
        <v>147</v>
      </c>
      <c r="C30" s="10" t="s">
        <v>225</v>
      </c>
      <c r="D30" s="10">
        <v>1</v>
      </c>
      <c r="E30" s="10" t="s">
        <v>311</v>
      </c>
      <c r="F30" s="11">
        <v>6521.88</v>
      </c>
      <c r="G30" s="11">
        <v>76728</v>
      </c>
      <c r="H30" s="11">
        <v>7304.5056000000004</v>
      </c>
      <c r="I30" s="11">
        <v>78888.660480000006</v>
      </c>
      <c r="J30" s="11">
        <v>8021.9124000000002</v>
      </c>
      <c r="K30" s="12">
        <v>86636.653919999997</v>
      </c>
      <c r="L30" s="8" t="s">
        <v>290</v>
      </c>
      <c r="M30" s="12" t="e">
        <v>#VALUE!</v>
      </c>
      <c r="N30" s="12" t="e">
        <v>#VALUE!</v>
      </c>
      <c r="O30" s="235"/>
      <c r="P30" s="3"/>
    </row>
    <row r="31" spans="1:16" ht="28.3">
      <c r="A31" s="10" t="s">
        <v>327</v>
      </c>
      <c r="B31" s="10" t="s">
        <v>147</v>
      </c>
      <c r="C31" s="10" t="s">
        <v>225</v>
      </c>
      <c r="D31" s="10">
        <v>1</v>
      </c>
      <c r="E31" s="10" t="s">
        <v>313</v>
      </c>
      <c r="F31" s="11">
        <v>8683.77</v>
      </c>
      <c r="G31" s="11">
        <v>93784.716</v>
      </c>
      <c r="H31" s="11">
        <v>8944.2831000000006</v>
      </c>
      <c r="I31" s="11">
        <v>96598.25748</v>
      </c>
      <c r="J31" s="11">
        <v>10160.010899999999</v>
      </c>
      <c r="K31" s="12">
        <v>109728.11771999999</v>
      </c>
      <c r="L31" s="8" t="s">
        <v>290</v>
      </c>
      <c r="M31" s="12" t="e">
        <v>#VALUE!</v>
      </c>
      <c r="N31" s="12" t="e">
        <v>#VALUE!</v>
      </c>
      <c r="O31" s="235"/>
      <c r="P31" s="3"/>
    </row>
    <row r="32" spans="1:16" ht="28.3">
      <c r="A32" s="10" t="s">
        <v>328</v>
      </c>
      <c r="B32" s="10" t="s">
        <v>147</v>
      </c>
      <c r="C32" s="10" t="s">
        <v>225</v>
      </c>
      <c r="D32" s="10">
        <v>1</v>
      </c>
      <c r="E32" s="10" t="s">
        <v>329</v>
      </c>
      <c r="F32" s="11">
        <v>10996.008</v>
      </c>
      <c r="G32" s="11">
        <v>118756.8864</v>
      </c>
      <c r="H32" s="11">
        <v>11325.88824</v>
      </c>
      <c r="I32" s="11">
        <v>122319.59299200001</v>
      </c>
      <c r="J32" s="11">
        <v>12095.6088</v>
      </c>
      <c r="K32" s="12">
        <v>130632.57504</v>
      </c>
      <c r="L32" s="8" t="s">
        <v>290</v>
      </c>
      <c r="M32" s="12" t="e">
        <v>#VALUE!</v>
      </c>
      <c r="N32" s="12" t="e">
        <v>#VALUE!</v>
      </c>
      <c r="O32" s="235"/>
      <c r="P32" s="3"/>
    </row>
    <row r="33" spans="1:16" ht="28.3">
      <c r="A33" s="10" t="s">
        <v>330</v>
      </c>
      <c r="B33" s="10" t="s">
        <v>147</v>
      </c>
      <c r="C33" s="10" t="s">
        <v>225</v>
      </c>
      <c r="D33" s="10">
        <v>1</v>
      </c>
      <c r="E33" s="10" t="s">
        <v>331</v>
      </c>
      <c r="F33" s="11">
        <v>12508.464</v>
      </c>
      <c r="G33" s="11">
        <v>135091.4112</v>
      </c>
      <c r="H33" s="11">
        <v>12758.63328</v>
      </c>
      <c r="I33" s="11">
        <v>137793.239424</v>
      </c>
      <c r="J33" s="11">
        <v>13509.14112</v>
      </c>
      <c r="K33" s="12">
        <v>145898.72409599999</v>
      </c>
      <c r="L33" s="8" t="s">
        <v>290</v>
      </c>
      <c r="M33" s="12" t="e">
        <v>#VALUE!</v>
      </c>
      <c r="N33" s="12" t="e">
        <v>#VALUE!</v>
      </c>
      <c r="O33" s="235"/>
      <c r="P33" s="3"/>
    </row>
    <row r="34" spans="1:16" ht="28.3">
      <c r="A34" s="10" t="s">
        <v>332</v>
      </c>
      <c r="B34" s="10" t="s">
        <v>147</v>
      </c>
      <c r="C34" s="10" t="s">
        <v>225</v>
      </c>
      <c r="D34" s="10">
        <v>1</v>
      </c>
      <c r="E34" s="10" t="s">
        <v>333</v>
      </c>
      <c r="F34" s="11">
        <v>16494.011999999999</v>
      </c>
      <c r="G34" s="11">
        <v>178135.3296</v>
      </c>
      <c r="H34" s="11">
        <v>16658.952120000002</v>
      </c>
      <c r="I34" s="11">
        <v>179916.68289600001</v>
      </c>
      <c r="J34" s="11">
        <v>17648.592840000001</v>
      </c>
      <c r="K34" s="12">
        <v>190604.80267199999</v>
      </c>
      <c r="L34" s="8" t="s">
        <v>290</v>
      </c>
      <c r="M34" s="12" t="e">
        <v>#VALUE!</v>
      </c>
      <c r="N34" s="12" t="e">
        <v>#VALUE!</v>
      </c>
      <c r="O34" s="235"/>
      <c r="P34" s="3"/>
    </row>
    <row r="35" spans="1:16" ht="28.3">
      <c r="A35" s="10" t="s">
        <v>334</v>
      </c>
      <c r="B35" s="10" t="s">
        <v>147</v>
      </c>
      <c r="C35" s="10" t="s">
        <v>225</v>
      </c>
      <c r="D35" s="10">
        <v>1</v>
      </c>
      <c r="E35" s="10" t="s">
        <v>335</v>
      </c>
      <c r="F35" s="11">
        <v>21412.655999999999</v>
      </c>
      <c r="G35" s="11">
        <v>231256.68479999999</v>
      </c>
      <c r="H35" s="11">
        <v>22055.035680000001</v>
      </c>
      <c r="I35" s="11">
        <v>238194.38534400001</v>
      </c>
      <c r="J35" s="11">
        <v>22055.035680000001</v>
      </c>
      <c r="K35" s="12">
        <v>238194.38534400001</v>
      </c>
      <c r="L35" s="8" t="s">
        <v>290</v>
      </c>
      <c r="M35" s="12" t="e">
        <v>#VALUE!</v>
      </c>
      <c r="N35" s="12" t="e">
        <v>#VALUE!</v>
      </c>
      <c r="O35" s="235"/>
      <c r="P35" s="3"/>
    </row>
    <row r="36" spans="1:16" ht="28.3">
      <c r="A36" s="10" t="s">
        <v>336</v>
      </c>
      <c r="B36" s="10" t="s">
        <v>147</v>
      </c>
      <c r="C36" s="10" t="s">
        <v>225</v>
      </c>
      <c r="D36" s="10">
        <v>1</v>
      </c>
      <c r="E36" s="10" t="s">
        <v>337</v>
      </c>
      <c r="F36" s="11">
        <v>27009.599999999999</v>
      </c>
      <c r="G36" s="11">
        <v>291703.67999999999</v>
      </c>
      <c r="H36" s="11">
        <v>27279.696</v>
      </c>
      <c r="I36" s="11">
        <v>294620.71679999999</v>
      </c>
      <c r="J36" s="11">
        <v>28360.080000000002</v>
      </c>
      <c r="K36" s="12">
        <v>306288.864</v>
      </c>
      <c r="L36" s="8" t="s">
        <v>290</v>
      </c>
      <c r="M36" s="12" t="e">
        <v>#VALUE!</v>
      </c>
      <c r="N36" s="12" t="e">
        <v>#VALUE!</v>
      </c>
      <c r="O36" s="235"/>
      <c r="P36" s="3"/>
    </row>
    <row r="37" spans="1:16" ht="28.3">
      <c r="A37" s="10" t="s">
        <v>338</v>
      </c>
      <c r="B37" s="10" t="s">
        <v>147</v>
      </c>
      <c r="C37" s="10" t="s">
        <v>225</v>
      </c>
      <c r="D37" s="10">
        <v>1</v>
      </c>
      <c r="E37" s="10" t="s">
        <v>339</v>
      </c>
      <c r="F37" s="13">
        <v>33818.6</v>
      </c>
      <c r="G37" s="11">
        <v>365240.88</v>
      </c>
      <c r="H37" s="11">
        <v>34494.972000000002</v>
      </c>
      <c r="I37" s="11">
        <v>372545.69760000001</v>
      </c>
      <c r="J37" s="11">
        <v>35171.343999999997</v>
      </c>
      <c r="K37" s="12">
        <v>379850.51520000002</v>
      </c>
      <c r="L37" s="8" t="s">
        <v>290</v>
      </c>
      <c r="M37" s="12" t="e">
        <v>#VALUE!</v>
      </c>
      <c r="N37" s="12" t="e">
        <v>#VALUE!</v>
      </c>
      <c r="O37" s="236"/>
      <c r="P37" s="3"/>
    </row>
    <row r="38" spans="1:16">
      <c r="A38" s="247" t="s">
        <v>340</v>
      </c>
      <c r="B38" s="10" t="s">
        <v>288</v>
      </c>
      <c r="C38" s="10" t="s">
        <v>341</v>
      </c>
      <c r="D38" s="10">
        <v>1</v>
      </c>
      <c r="E38" s="10" t="s">
        <v>342</v>
      </c>
      <c r="F38" s="11">
        <v>24</v>
      </c>
      <c r="G38" s="11">
        <v>288</v>
      </c>
    </row>
    <row r="39" spans="1:16">
      <c r="A39" s="248"/>
      <c r="B39" s="10" t="s">
        <v>147</v>
      </c>
      <c r="C39" s="10" t="s">
        <v>341</v>
      </c>
      <c r="D39" s="10">
        <v>1</v>
      </c>
      <c r="E39" s="10" t="s">
        <v>342</v>
      </c>
      <c r="F39" s="11">
        <v>25</v>
      </c>
      <c r="G39" s="11">
        <v>300</v>
      </c>
    </row>
    <row r="40" spans="1:16">
      <c r="A40" s="248"/>
      <c r="B40" s="250" t="s">
        <v>343</v>
      </c>
      <c r="C40" s="10" t="s">
        <v>344</v>
      </c>
      <c r="D40" s="10">
        <v>1</v>
      </c>
      <c r="E40" s="10" t="s">
        <v>345</v>
      </c>
      <c r="F40" s="11">
        <v>40</v>
      </c>
      <c r="G40" s="11">
        <v>480</v>
      </c>
    </row>
    <row r="41" spans="1:16">
      <c r="A41" s="248"/>
      <c r="B41" s="250"/>
      <c r="C41" s="10" t="s">
        <v>346</v>
      </c>
      <c r="D41" s="10">
        <v>1</v>
      </c>
      <c r="E41" s="10" t="s">
        <v>347</v>
      </c>
      <c r="F41" s="11">
        <v>19.8333333333333</v>
      </c>
      <c r="G41" s="11">
        <v>238</v>
      </c>
    </row>
    <row r="42" spans="1:16">
      <c r="A42" s="248"/>
      <c r="B42" s="250"/>
      <c r="C42" s="10" t="s">
        <v>348</v>
      </c>
      <c r="D42" s="10">
        <v>1</v>
      </c>
      <c r="E42" s="10" t="s">
        <v>349</v>
      </c>
      <c r="F42" s="11">
        <v>138.333333333333</v>
      </c>
      <c r="G42" s="11">
        <v>1660</v>
      </c>
    </row>
    <row r="43" spans="1:16">
      <c r="A43" s="248"/>
      <c r="B43" s="250"/>
      <c r="C43" s="10" t="s">
        <v>350</v>
      </c>
      <c r="D43" s="10">
        <v>1</v>
      </c>
      <c r="E43" s="10" t="s">
        <v>351</v>
      </c>
      <c r="F43" s="11">
        <v>100</v>
      </c>
      <c r="G43" s="11">
        <v>1200</v>
      </c>
    </row>
    <row r="44" spans="1:16">
      <c r="A44" s="249"/>
      <c r="B44" s="250"/>
      <c r="C44" s="10" t="s">
        <v>352</v>
      </c>
      <c r="D44" s="10">
        <v>1</v>
      </c>
      <c r="E44" s="10" t="s">
        <v>353</v>
      </c>
      <c r="F44" s="11">
        <v>42</v>
      </c>
      <c r="G44" s="11">
        <v>500</v>
      </c>
    </row>
    <row r="45" spans="1:16" ht="42.45">
      <c r="A45" s="250" t="s">
        <v>354</v>
      </c>
      <c r="B45" s="250"/>
      <c r="C45" s="10" t="s">
        <v>355</v>
      </c>
      <c r="D45" s="10">
        <v>1</v>
      </c>
      <c r="E45" s="10" t="s">
        <v>356</v>
      </c>
      <c r="F45" s="11">
        <v>25</v>
      </c>
      <c r="G45" s="14">
        <v>300</v>
      </c>
    </row>
    <row r="46" spans="1:16" ht="28.3">
      <c r="A46" s="250"/>
      <c r="B46" s="250"/>
      <c r="C46" s="10" t="s">
        <v>357</v>
      </c>
      <c r="D46" s="10">
        <v>1</v>
      </c>
      <c r="E46" s="10" t="s">
        <v>358</v>
      </c>
      <c r="F46" s="11">
        <v>166.666666666667</v>
      </c>
      <c r="G46" s="14">
        <v>2000</v>
      </c>
    </row>
    <row r="47" spans="1:16" ht="28.3">
      <c r="A47" s="245"/>
      <c r="B47" s="245"/>
      <c r="C47" s="6" t="s">
        <v>359</v>
      </c>
      <c r="D47" s="6">
        <v>1</v>
      </c>
      <c r="E47" s="6" t="s">
        <v>360</v>
      </c>
      <c r="F47" s="7">
        <v>41.6666666666667</v>
      </c>
      <c r="G47" s="15">
        <v>500</v>
      </c>
    </row>
    <row r="48" spans="1:16" ht="24" customHeight="1">
      <c r="A48" s="240" t="s">
        <v>361</v>
      </c>
      <c r="B48" s="240"/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O48" s="240"/>
    </row>
    <row r="49" spans="1:16" s="1" customFormat="1" ht="56.6">
      <c r="A49" s="8"/>
      <c r="B49" s="16" t="s">
        <v>362</v>
      </c>
      <c r="C49" s="8" t="s">
        <v>363</v>
      </c>
      <c r="D49" s="8" t="s">
        <v>215</v>
      </c>
      <c r="E49" s="8" t="s">
        <v>364</v>
      </c>
      <c r="F49" s="8" t="s">
        <v>365</v>
      </c>
      <c r="G49" s="8" t="s">
        <v>218</v>
      </c>
      <c r="H49" s="8" t="s">
        <v>366</v>
      </c>
      <c r="I49" s="8" t="s">
        <v>367</v>
      </c>
      <c r="J49" s="8" t="s">
        <v>368</v>
      </c>
      <c r="K49" s="8" t="s">
        <v>369</v>
      </c>
      <c r="L49" s="8" t="s">
        <v>370</v>
      </c>
      <c r="M49" s="241" t="s">
        <v>12</v>
      </c>
      <c r="N49" s="242"/>
      <c r="O49" s="243"/>
    </row>
    <row r="50" spans="1:16" ht="83.05" customHeight="1">
      <c r="A50" s="8" t="s">
        <v>371</v>
      </c>
      <c r="B50" s="16">
        <v>4</v>
      </c>
      <c r="C50" s="8">
        <v>16</v>
      </c>
      <c r="D50" s="8" t="s">
        <v>225</v>
      </c>
      <c r="E50" s="8" t="s">
        <v>290</v>
      </c>
      <c r="F50" s="8" t="s">
        <v>372</v>
      </c>
      <c r="G50" s="8" t="s">
        <v>18</v>
      </c>
      <c r="H50" s="12" t="e">
        <v>#VALUE!</v>
      </c>
      <c r="I50" s="12" t="e">
        <v>#VALUE!</v>
      </c>
      <c r="J50" s="12" t="e">
        <v>#VALUE!</v>
      </c>
      <c r="K50" s="12" t="e">
        <v>#VALUE!</v>
      </c>
      <c r="L50" s="230" t="s">
        <v>288</v>
      </c>
      <c r="M50" s="231" t="s">
        <v>373</v>
      </c>
      <c r="N50" s="251" t="s">
        <v>374</v>
      </c>
      <c r="O50" s="252"/>
    </row>
    <row r="51" spans="1:16" ht="88.3" customHeight="1">
      <c r="A51" s="8" t="s">
        <v>375</v>
      </c>
      <c r="B51" s="8">
        <v>62</v>
      </c>
      <c r="C51" s="8">
        <v>128</v>
      </c>
      <c r="D51" s="8" t="s">
        <v>225</v>
      </c>
      <c r="E51" s="8" t="s">
        <v>290</v>
      </c>
      <c r="F51" s="8" t="s">
        <v>372</v>
      </c>
      <c r="G51" s="8" t="s">
        <v>18</v>
      </c>
      <c r="H51" s="12" t="e">
        <v>#VALUE!</v>
      </c>
      <c r="I51" s="12" t="e">
        <v>#VALUE!</v>
      </c>
      <c r="J51" s="12" t="e">
        <v>#VALUE!</v>
      </c>
      <c r="K51" s="12" t="e">
        <v>#VALUE!</v>
      </c>
      <c r="L51" s="230"/>
      <c r="M51" s="232"/>
      <c r="N51" s="253"/>
      <c r="O51" s="254"/>
    </row>
    <row r="52" spans="1:16" ht="51" customHeight="1">
      <c r="A52" s="8" t="s">
        <v>376</v>
      </c>
      <c r="B52" s="8">
        <v>4</v>
      </c>
      <c r="C52" s="8">
        <v>18</v>
      </c>
      <c r="D52" s="8" t="s">
        <v>225</v>
      </c>
      <c r="E52" s="8" t="s">
        <v>290</v>
      </c>
      <c r="F52" s="8" t="s">
        <v>372</v>
      </c>
      <c r="G52" s="8" t="s">
        <v>18</v>
      </c>
      <c r="H52" s="12" t="e">
        <v>#VALUE!</v>
      </c>
      <c r="I52" s="12" t="e">
        <v>#VALUE!</v>
      </c>
      <c r="J52" s="12" t="e">
        <v>#VALUE!</v>
      </c>
      <c r="K52" s="12" t="e">
        <v>#VALUE!</v>
      </c>
      <c r="L52" s="230" t="s">
        <v>147</v>
      </c>
      <c r="M52" s="232"/>
      <c r="N52" s="251" t="s">
        <v>377</v>
      </c>
      <c r="O52" s="252"/>
      <c r="P52" s="17"/>
    </row>
    <row r="53" spans="1:16" ht="53.05" customHeight="1">
      <c r="A53" s="8" t="s">
        <v>378</v>
      </c>
      <c r="B53" s="8">
        <v>32</v>
      </c>
      <c r="C53" s="8">
        <v>64</v>
      </c>
      <c r="D53" s="8" t="s">
        <v>225</v>
      </c>
      <c r="E53" s="8" t="s">
        <v>290</v>
      </c>
      <c r="F53" s="8" t="s">
        <v>372</v>
      </c>
      <c r="G53" s="8" t="s">
        <v>18</v>
      </c>
      <c r="H53" s="12" t="e">
        <v>#VALUE!</v>
      </c>
      <c r="I53" s="12" t="e">
        <v>#VALUE!</v>
      </c>
      <c r="J53" s="12" t="e">
        <v>#VALUE!</v>
      </c>
      <c r="K53" s="12" t="e">
        <v>#VALUE!</v>
      </c>
      <c r="L53" s="230"/>
      <c r="M53" s="232"/>
      <c r="N53" s="255"/>
      <c r="O53" s="256"/>
      <c r="P53" s="17"/>
    </row>
    <row r="54" spans="1:16" ht="54" customHeight="1">
      <c r="A54" s="8" t="s">
        <v>379</v>
      </c>
      <c r="B54" s="8">
        <v>128</v>
      </c>
      <c r="C54" s="8">
        <v>512</v>
      </c>
      <c r="D54" s="8" t="s">
        <v>225</v>
      </c>
      <c r="E54" s="8" t="s">
        <v>290</v>
      </c>
      <c r="F54" s="8" t="s">
        <v>372</v>
      </c>
      <c r="G54" s="8" t="s">
        <v>18</v>
      </c>
      <c r="H54" s="12" t="e">
        <v>#VALUE!</v>
      </c>
      <c r="I54" s="12" t="e">
        <v>#VALUE!</v>
      </c>
      <c r="J54" s="12" t="e">
        <v>#VALUE!</v>
      </c>
      <c r="K54" s="12" t="e">
        <v>#VALUE!</v>
      </c>
      <c r="L54" s="230"/>
      <c r="M54" s="233"/>
      <c r="N54" s="253"/>
      <c r="O54" s="254"/>
      <c r="P54" s="17"/>
    </row>
    <row r="55" spans="1:16">
      <c r="G55" s="1"/>
    </row>
    <row r="56" spans="1:16">
      <c r="F56" s="1"/>
      <c r="G56" s="1"/>
    </row>
    <row r="57" spans="1:16" ht="25.5" customHeight="1">
      <c r="A57" s="244" t="s">
        <v>380</v>
      </c>
      <c r="B57" s="244"/>
      <c r="C57" s="244"/>
      <c r="D57" s="244"/>
      <c r="E57" s="244"/>
      <c r="F57" s="244"/>
      <c r="G57" s="244"/>
      <c r="H57" s="244"/>
      <c r="I57" s="244"/>
      <c r="J57" s="244"/>
      <c r="K57" s="244"/>
      <c r="L57" s="244"/>
      <c r="M57" s="244"/>
      <c r="N57" s="244"/>
      <c r="O57" s="244"/>
    </row>
    <row r="58" spans="1:16">
      <c r="F58" s="1"/>
      <c r="G58" s="1"/>
    </row>
    <row r="59" spans="1:16">
      <c r="F59" s="1"/>
      <c r="G59" s="1"/>
    </row>
  </sheetData>
  <protectedRanges>
    <protectedRange sqref="B50:C51" name="非标准产品"/>
    <protectedRange sqref="E51" name="非标准产品_8"/>
    <protectedRange sqref="E50 L7:L19" name="非标准产品_7"/>
    <protectedRange sqref="F51" name="非标准产品_6"/>
    <protectedRange sqref="F50" name="非标准产品_5"/>
    <protectedRange sqref="D7:D19" name="数量"/>
    <protectedRange sqref="A57:D66 F57:O66 E57:E59 E63:E66" name="总价"/>
    <protectedRange sqref="L20:L37" name="带宽"/>
    <protectedRange sqref="D20:D37" name="数量_1"/>
    <protectedRange sqref="B52:C54" name="非标准产品cpu"/>
    <protectedRange sqref="B52:G54 G50:G51" name="非标准产品_1"/>
  </protectedRanges>
  <mergeCells count="25">
    <mergeCell ref="A57:O57"/>
    <mergeCell ref="A5:A6"/>
    <mergeCell ref="A38:A44"/>
    <mergeCell ref="B5:B6"/>
    <mergeCell ref="B40:B44"/>
    <mergeCell ref="C5:C6"/>
    <mergeCell ref="D5:D6"/>
    <mergeCell ref="E5:E6"/>
    <mergeCell ref="F5:F6"/>
    <mergeCell ref="G5:G6"/>
    <mergeCell ref="H5:H6"/>
    <mergeCell ref="I5:I6"/>
    <mergeCell ref="J5:J6"/>
    <mergeCell ref="A45:B47"/>
    <mergeCell ref="N50:O51"/>
    <mergeCell ref="N52:O54"/>
    <mergeCell ref="A2:O4"/>
    <mergeCell ref="K5:K6"/>
    <mergeCell ref="L50:L51"/>
    <mergeCell ref="L52:L54"/>
    <mergeCell ref="M50:M54"/>
    <mergeCell ref="O7:O37"/>
    <mergeCell ref="L5:O5"/>
    <mergeCell ref="A48:O48"/>
    <mergeCell ref="M49:O49"/>
  </mergeCells>
  <phoneticPr fontId="2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2" master="" otherUserPermission="visible"/>
  <rangeList sheetStid="9" master="" otherUserPermission="visible"/>
  <rangeList sheetStid="11" master="" otherUserPermission="visible">
    <arrUserId title="非标准产品" rangeCreator="" othersAccessPermission="edit"/>
    <arrUserId title="非标准产品_8" rangeCreator="" othersAccessPermission="edit"/>
    <arrUserId title="非标准产品_7" rangeCreator="" othersAccessPermission="edit"/>
    <arrUserId title="非标准产品_6" rangeCreator="" othersAccessPermission="edit"/>
    <arrUserId title="非标准产品_5" rangeCreator="" othersAccessPermission="edit"/>
    <arrUserId title="数量" rangeCreator="" othersAccessPermission="edit"/>
    <arrUserId title="总价" rangeCreator="" othersAccessPermission="edit"/>
    <arrUserId title="带宽" rangeCreator="" othersAccessPermission="edit"/>
    <arrUserId title="数量_1" rangeCreator="" othersAccessPermission="edit"/>
    <arrUserId title="非标准产品cpu" rangeCreator="" othersAccessPermission="edit"/>
    <arrUserId title="非标准产品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计算服务</vt:lpstr>
      <vt:lpstr>裸金属</vt:lpstr>
      <vt:lpstr>云主机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</dc:creator>
  <cp:lastModifiedBy>J L</cp:lastModifiedBy>
  <dcterms:created xsi:type="dcterms:W3CDTF">2022-05-31T09:57:00Z</dcterms:created>
  <dcterms:modified xsi:type="dcterms:W3CDTF">2026-05-11T01:51:54Z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5B606A937DA148F09869879454DE8CA7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